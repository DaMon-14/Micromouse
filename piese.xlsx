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esktop\projects\micromouse\"/>
    </mc:Choice>
  </mc:AlternateContent>
  <xr:revisionPtr revIDLastSave="0" documentId="13_ncr:1_{4D8639AA-7354-4C66-92BB-FF0AB92BE8EF}" xr6:coauthVersionLast="47" xr6:coauthVersionMax="47" xr10:uidLastSave="{00000000-0000-0000-0000-000000000000}"/>
  <bookViews>
    <workbookView xWindow="-120" yWindow="-120" windowWidth="29040" windowHeight="15720" xr2:uid="{FFDE713F-859F-4B3F-BED4-C08AC22FA580}"/>
  </bookViews>
  <sheets>
    <sheet name="parts" sheetId="3" r:id="rId1"/>
    <sheet name="general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3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6" i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2" i="1"/>
  <c r="C26" i="3" l="1"/>
</calcChain>
</file>

<file path=xl/sharedStrings.xml><?xml version="1.0" encoding="utf-8"?>
<sst xmlns="http://schemas.openxmlformats.org/spreadsheetml/2006/main" count="100" uniqueCount="86">
  <si>
    <t>part</t>
  </si>
  <si>
    <t>link</t>
  </si>
  <si>
    <t>pcs</t>
  </si>
  <si>
    <t>OK/NOT OK</t>
  </si>
  <si>
    <t>STM32</t>
  </si>
  <si>
    <t>https://www.digikey.com/en/products/detail/stmicroelectronics/STM32F411RET6/4935722</t>
  </si>
  <si>
    <t>price (ron) /pcs</t>
  </si>
  <si>
    <t>price (ron)</t>
  </si>
  <si>
    <t>nucleo</t>
  </si>
  <si>
    <t>https://www.digikey.com/en/products/detail/stmicroelectronics/NUCLEO-F411RE/4866485?s=N4IgTCBcDaIHIFUDCAZAogeQLQDEAsAjAQEpogC6AvkA</t>
  </si>
  <si>
    <t>https://www.tme.eu/ro/details/nucleo-f411re/kituri-de-dezvoltare-stm/stmicroelectronics/</t>
  </si>
  <si>
    <t>https://www.tme.eu/ro/details/stm32f411ret6/microcontrolere-st/stmicroelectronics/</t>
  </si>
  <si>
    <t>Obs</t>
  </si>
  <si>
    <t>min 3 pcs for that price</t>
  </si>
  <si>
    <t>motors</t>
  </si>
  <si>
    <t>https://www.pololu.com/product/5187</t>
  </si>
  <si>
    <t>https://robomaniacs.ro/product/micromotor-cu-angrenaj-core-6v/</t>
  </si>
  <si>
    <t>pricy shiping</t>
  </si>
  <si>
    <t>750rpm no encoder</t>
  </si>
  <si>
    <t>https://www.dfrobot.com/product-1431.html</t>
  </si>
  <si>
    <t>530rpm encoder</t>
  </si>
  <si>
    <t>drfobot 18usd shiping</t>
  </si>
  <si>
    <t>https://botland.store/stm32-nucleo/3363-stm32-nucleo-f411re-module-stm32f411re-arm-cortex-m4-5904422331764.html</t>
  </si>
  <si>
    <t>https://botland.store/dc-micro-motors-with-gearbox/5093-hpcb-motor-with-50-1-gear-doublesided-shaft-pololu-3073-5904422306359.html</t>
  </si>
  <si>
    <t>w/o encoder</t>
  </si>
  <si>
    <t>https://botland.store/encoders/8258-magnetic-encoder-pair-kit-for-20d-mm-metal-gearmotors-20-cpr-27-18v-pololu-3499-5904422375782.html</t>
  </si>
  <si>
    <t>part &amp; likelyhood of purchase</t>
  </si>
  <si>
    <t>price/pcs</t>
  </si>
  <si>
    <t>price</t>
  </si>
  <si>
    <t>JLCPCB avalibility</t>
  </si>
  <si>
    <t>JLCPCB price</t>
  </si>
  <si>
    <t>SLM6DSOX</t>
  </si>
  <si>
    <t>MODULINO MOVEMENT ARDUINO - Modul de extensie | cablu de conectare,modul; Comp: LSM6DSOX; ABX00101 | Transfer Multisort Elektronik România</t>
  </si>
  <si>
    <t>NUCELO-F411RE</t>
  </si>
  <si>
    <t>NUCLEO-F411RE STMicroelectronics - Kituri dezv: STM32 | Comp: STM32F411RET6; Conectori de extensie: 2 | Transfer Multisort Elektronik România</t>
  </si>
  <si>
    <t>TSAL6200</t>
  </si>
  <si>
    <t>TSAL6200 VISHAY - Emiţător IR | 5mm; 940nm; gri-albăstrui,transparent; 210mW; 17° | Transfer Multisort Elektronik România</t>
  </si>
  <si>
    <t xml:space="preserve">price 10 buc min </t>
  </si>
  <si>
    <t>TSAL6100</t>
  </si>
  <si>
    <t>TSAL6100 VISHAY - Emiţător IR | 5mm; 940nm; gri-albăstrui,transparent; 40mW; THT | Transfer Multisort Elektronik România</t>
  </si>
  <si>
    <t>SFH4544</t>
  </si>
  <si>
    <t>SFH 4544 ams OSRAM - Emiţător IR | 5mm; 950nm; neagră; 550mW; 10°; 1,6÷1,9VDC; THT; 100mA; SFH4544 | Transfer Multisort Elektronik România</t>
  </si>
  <si>
    <t>34 in stock only</t>
  </si>
  <si>
    <t>price 10 buc min</t>
  </si>
  <si>
    <t>VBPW34S</t>
  </si>
  <si>
    <t>VBPW34S VISHAY - Fotodiodă PIN | Gull wing; SMD; 940nm; 430÷1100nm; 130°; plat | Transfer Multisort Elektronik România</t>
  </si>
  <si>
    <t>BPV10NF</t>
  </si>
  <si>
    <t>BPV10NF VISHAY - Fotodiodă IR PIN | 5mm; THT; 940nm; 40° | Transfer Multisort Elektronik România</t>
  </si>
  <si>
    <t>TLV9062IDR</t>
  </si>
  <si>
    <t>TLV9062IDR TEXAS INSTRUMENTS - IC: amplificator operaţional | 10MHz; Ch: 2; 1,8÷5,5VDC; SO8; 2mV | Transfer Multisort Elektronik România</t>
  </si>
  <si>
    <t>AO3400A</t>
  </si>
  <si>
    <t>AO3400A ALPHA &amp; OMEGA SEMICONDUCTOR - Tranzistor: N-MOSFET | unipolar; 30V; 4,7A; 1,4W; SOT23 | Transfer Multisort Elektronik România</t>
  </si>
  <si>
    <t>price 50 buc min</t>
  </si>
  <si>
    <t>TCTR5000</t>
  </si>
  <si>
    <t>Motor</t>
  </si>
  <si>
    <t>DRV8833</t>
  </si>
  <si>
    <t>DRV8833 dual H-bridge 1.5A Arduino motor driver module</t>
  </si>
  <si>
    <t>turbine motor</t>
  </si>
  <si>
    <t>backup if photodiode is problematic</t>
  </si>
  <si>
    <t>8.00M-SMDHC49S YIC - Cristal | 8MHz; SMD; 20pF; ±30ppm; ±5ppm/an; 1mW; HC49SM; -20÷70°C | Transfer Multisort Elektronik România</t>
  </si>
  <si>
    <t>8Mhz quartz</t>
  </si>
  <si>
    <t>303A-753018-000 ATTEND - Conector: pogo pin | PIN: 1; SMT; Ø: 1,05mm; Hmin: 6,2mm; Hmax: 7,5mm | Transfer Multisort Elektronik România</t>
  </si>
  <si>
    <t>Pogo pins</t>
  </si>
  <si>
    <t>price 5 buc min</t>
  </si>
  <si>
    <t>AP62300Z6-7 DIODES INCORPORATED - PMIC | convertor DC/DC; Uintr: 4,2÷18VDC; Uieş: 0,8÷7VDC; 3A; SOT563 | Transfer Multisort Elektronik România</t>
  </si>
  <si>
    <t>AP62300Z6-7</t>
  </si>
  <si>
    <t>price 10 bun min</t>
  </si>
  <si>
    <t>NRS5030T3R3MMGJ TAIYO YUDEN - Inductor: fir | SMD; 3,3uH; 3A; R: 30mΩ; ±20%; NRS; 4,9x4,9mm | Transfer Multisort Elektronik România</t>
  </si>
  <si>
    <t>3.3uH inductor</t>
  </si>
  <si>
    <t>hand solder prob</t>
  </si>
  <si>
    <t>TLV75533PDBVR TEXAS INSTRUMENTS - IC: stabilizator de tensiune | LDO,liniar,nereglabil; 3,3V; 500mA | Transfer Multisort Elektronik România</t>
  </si>
  <si>
    <t>TLV75533PDBVR</t>
  </si>
  <si>
    <t>RF-W7SP30TS-A44 REFOND - LED | RGB; SMD; PLCC6; 1.8÷2.4/2.7÷3.4/2.7÷3.4VDC; 3.5x2.8x1.8mm | Transfer Multisort Elektronik Romania</t>
  </si>
  <si>
    <t>State led</t>
  </si>
  <si>
    <t>price 25 buc min</t>
  </si>
  <si>
    <t>Buton micro fara retinere 4x4x1.6mm, 4 pini metalic</t>
  </si>
  <si>
    <t>Button</t>
  </si>
  <si>
    <t>SS14</t>
  </si>
  <si>
    <t>BLE</t>
  </si>
  <si>
    <t>Modul Bluetooth HC-05 compatibil Arduino Master/Slave</t>
  </si>
  <si>
    <t>TCRT5000 2.5mm reflective optical sensor for line robots</t>
  </si>
  <si>
    <t>Dioda Schottky 1N5819 SMD SS14 40V 1A</t>
  </si>
  <si>
    <t>Motor mini coreless 20x8.5 ax 1mm 50000RPM 3.7V drone</t>
  </si>
  <si>
    <t>Motor DC mini N20 500RPM 6V cu reductor metalic</t>
  </si>
  <si>
    <t>no encoder, may be changed with 1000rpm HPCB variant from sigmanortec</t>
  </si>
  <si>
    <t>purchased?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</si>
</sst>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2" borderId="0" xfId="2"/>
    <xf numFmtId="0" fontId="4" fillId="4" borderId="0" xfId="4"/>
    <xf numFmtId="0" fontId="3" fillId="3" borderId="0" xfId="3"/>
    <xf numFmtId="0" fontId="2" fillId="2" borderId="0" xfId="2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 vertic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tlv9062idr/amplificatori-operationali-smd/texas-instruments/" TargetMode="External"/><Relationship Id="rId13" Type="http://schemas.openxmlformats.org/officeDocument/2006/relationships/hyperlink" Target="https://www.tme.eu/ro/details/ap62300z6-7/regulatoare-de-tensiune-circuite-dc-dc/diodes-incorporated/" TargetMode="External"/><Relationship Id="rId18" Type="http://schemas.openxmlformats.org/officeDocument/2006/relationships/hyperlink" Target="https://sigmanortec.ro/Modul-Bluetooth-HC-05-p141736971" TargetMode="External"/><Relationship Id="rId3" Type="http://schemas.openxmlformats.org/officeDocument/2006/relationships/hyperlink" Target="https://www.tme.eu/ro/details/tsal6200/diode-led-ir/vishay/" TargetMode="External"/><Relationship Id="rId21" Type="http://schemas.openxmlformats.org/officeDocument/2006/relationships/hyperlink" Target="https://sigmanortec.ro/Motor-mini-coreless-20x8-5-ax-1mm-50000RPM-p209682505" TargetMode="External"/><Relationship Id="rId7" Type="http://schemas.openxmlformats.org/officeDocument/2006/relationships/hyperlink" Target="https://www.tme.eu/ro/details/bpv10nf/fotodiode/vishay/" TargetMode="External"/><Relationship Id="rId12" Type="http://schemas.openxmlformats.org/officeDocument/2006/relationships/hyperlink" Target="https://www.tme.eu/ro/details/303a-753018-000/alti-conectori/attend/" TargetMode="External"/><Relationship Id="rId17" Type="http://schemas.openxmlformats.org/officeDocument/2006/relationships/hyperlink" Target="https://sigmanortec.ro/Buton-micro-fara-retinere-1-6mm-p125704779" TargetMode="External"/><Relationship Id="rId2" Type="http://schemas.openxmlformats.org/officeDocument/2006/relationships/hyperlink" Target="https://www.tme.eu/ro/details/nucleo-f411re/kituri-de-dezvoltare-stm/stmicroelectronics/" TargetMode="External"/><Relationship Id="rId16" Type="http://schemas.openxmlformats.org/officeDocument/2006/relationships/hyperlink" Target="https://www.tme.eu/ro/en/details/rf-w7sp30ts-a44/smd-colour-leds/refond/" TargetMode="External"/><Relationship Id="rId20" Type="http://schemas.openxmlformats.org/officeDocument/2006/relationships/hyperlink" Target="https://sigmanortec.ro/Dioda-Schottky-1N5819-SMD-SS14-40V-p128704286" TargetMode="External"/><Relationship Id="rId1" Type="http://schemas.openxmlformats.org/officeDocument/2006/relationships/hyperlink" Target="https://www.tme.eu/ro/details/abx00101/solutii-arduino/arduino/modulino-movement/" TargetMode="External"/><Relationship Id="rId6" Type="http://schemas.openxmlformats.org/officeDocument/2006/relationships/hyperlink" Target="https://www.tme.eu/ro/details/vbpw34s/fotodiode/vishay/" TargetMode="External"/><Relationship Id="rId11" Type="http://schemas.openxmlformats.org/officeDocument/2006/relationships/hyperlink" Target="https://www.tme.eu/ro/details/8.00m-smdhc49s/resonators-and-generators/yic/" TargetMode="External"/><Relationship Id="rId5" Type="http://schemas.openxmlformats.org/officeDocument/2006/relationships/hyperlink" Target="https://www.tme.eu/ro/details/sfh4544/diode-led-ir/ams-osram/sfh-4544/" TargetMode="External"/><Relationship Id="rId15" Type="http://schemas.openxmlformats.org/officeDocument/2006/relationships/hyperlink" Target="https://www.tme.eu/ro/details/tlv75533pdbvr/regulatoare-de-tensiune-neregulata-ldo/texas-instruments/" TargetMode="External"/><Relationship Id="rId10" Type="http://schemas.openxmlformats.org/officeDocument/2006/relationships/hyperlink" Target="https://sigmanortec.ro/en/motor-driver-module-dual-h-bridge-drv8833-15a" TargetMode="External"/><Relationship Id="rId19" Type="http://schemas.openxmlformats.org/officeDocument/2006/relationships/hyperlink" Target="https://sigmanortec.ro/en/tcrt5000-optical-sensor-reflective" TargetMode="External"/><Relationship Id="rId4" Type="http://schemas.openxmlformats.org/officeDocument/2006/relationships/hyperlink" Target="https://www.tme.eu/ro/details/tsal6100/diode-led-ir/vishay/" TargetMode="External"/><Relationship Id="rId9" Type="http://schemas.openxmlformats.org/officeDocument/2006/relationships/hyperlink" Target="https://www.tme.eu/ro/details/ao3400a/tranzistori-canal-n-smd/alpha-omega-semiconductor/" TargetMode="External"/><Relationship Id="rId14" Type="http://schemas.openxmlformats.org/officeDocument/2006/relationships/hyperlink" Target="https://www.tme.eu/ro/details/nrs5030t3r3mmgj/inductoare/taiyo-yuden/" TargetMode="External"/><Relationship Id="rId22" Type="http://schemas.openxmlformats.org/officeDocument/2006/relationships/hyperlink" Target="https://sigmanortec.ro/Motor-DC-mini-angrenaje-metal-N20-500RPM-p21161103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otland.store/dc-micro-motors-with-gearbox/5093-hpcb-motor-with-50-1-gear-doublesided-shaft-pololu-3073-5904422306359.html" TargetMode="External"/><Relationship Id="rId3" Type="http://schemas.openxmlformats.org/officeDocument/2006/relationships/hyperlink" Target="https://www.tme.eu/ro/details/nucleo-f411re/kituri-de-dezvoltare-stm/stmicroelectronics/" TargetMode="External"/><Relationship Id="rId7" Type="http://schemas.openxmlformats.org/officeDocument/2006/relationships/hyperlink" Target="https://www.dfrobot.com/product-1431.html" TargetMode="External"/><Relationship Id="rId2" Type="http://schemas.openxmlformats.org/officeDocument/2006/relationships/hyperlink" Target="https://www.digikey.com/en/products/detail/stmicroelectronics/NUCLEO-F411RE/4866485?s=N4IgTCBcDaIHIFUDCAZAogeQLQDEAsAjAQEpogC6AvkA" TargetMode="External"/><Relationship Id="rId1" Type="http://schemas.openxmlformats.org/officeDocument/2006/relationships/hyperlink" Target="https://www.digikey.com/en/products/detail/stmicroelectronics/STM32F411RET6/4935722" TargetMode="External"/><Relationship Id="rId6" Type="http://schemas.openxmlformats.org/officeDocument/2006/relationships/hyperlink" Target="https://robomaniacs.ro/product/micromotor-cu-angrenaj-core-6v/" TargetMode="External"/><Relationship Id="rId5" Type="http://schemas.openxmlformats.org/officeDocument/2006/relationships/hyperlink" Target="https://www.pololu.com/product/5187" TargetMode="External"/><Relationship Id="rId4" Type="http://schemas.openxmlformats.org/officeDocument/2006/relationships/hyperlink" Target="https://www.tme.eu/ro/details/stm32f411ret6/microcontrolere-st/stmicroelectronics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BFD4-2314-4C20-864D-2177B0FC4D2D}">
  <dimension ref="A1:J26"/>
  <sheetViews>
    <sheetView tabSelected="1" workbookViewId="0">
      <selection activeCell="B28" sqref="B28"/>
    </sheetView>
  </sheetViews>
  <sheetFormatPr defaultRowHeight="15" x14ac:dyDescent="0.25"/>
  <cols>
    <col min="1" max="1" width="27.5703125" bestFit="1" customWidth="1"/>
    <col min="2" max="2" width="139.5703125" bestFit="1" customWidth="1"/>
    <col min="4" max="4" width="3.85546875" bestFit="1" customWidth="1"/>
    <col min="5" max="5" width="6" bestFit="1" customWidth="1"/>
    <col min="6" max="6" width="68.42578125" bestFit="1" customWidth="1"/>
    <col min="7" max="7" width="11.140625" bestFit="1" customWidth="1"/>
    <col min="8" max="8" width="16.42578125" bestFit="1" customWidth="1"/>
    <col min="9" max="9" width="12" bestFit="1" customWidth="1"/>
    <col min="10" max="10" width="15.42578125" bestFit="1" customWidth="1"/>
  </cols>
  <sheetData>
    <row r="1" spans="1:10" x14ac:dyDescent="0.25">
      <c r="A1" t="s">
        <v>26</v>
      </c>
      <c r="B1" t="s">
        <v>1</v>
      </c>
      <c r="C1" t="s">
        <v>27</v>
      </c>
      <c r="D1" t="s">
        <v>2</v>
      </c>
      <c r="E1" t="s">
        <v>28</v>
      </c>
      <c r="F1" t="s">
        <v>12</v>
      </c>
      <c r="G1" t="s">
        <v>85</v>
      </c>
      <c r="H1" t="s">
        <v>29</v>
      </c>
      <c r="I1" t="s">
        <v>30</v>
      </c>
      <c r="J1" t="s">
        <v>12</v>
      </c>
    </row>
    <row r="2" spans="1:10" x14ac:dyDescent="0.25">
      <c r="A2" s="3" t="s">
        <v>31</v>
      </c>
      <c r="B2" s="1" t="s">
        <v>32</v>
      </c>
      <c r="C2">
        <v>60.87</v>
      </c>
      <c r="D2">
        <v>1</v>
      </c>
      <c r="E2">
        <f>D2*C2</f>
        <v>60.87</v>
      </c>
      <c r="H2" s="3"/>
    </row>
    <row r="3" spans="1:10" x14ac:dyDescent="0.25">
      <c r="A3" s="3" t="s">
        <v>33</v>
      </c>
      <c r="B3" s="1" t="s">
        <v>34</v>
      </c>
      <c r="C3">
        <v>86.63</v>
      </c>
      <c r="D3">
        <v>1</v>
      </c>
      <c r="E3">
        <f t="shared" ref="E3:E23" si="0">D3*C3</f>
        <v>86.63</v>
      </c>
      <c r="H3" s="3"/>
    </row>
    <row r="4" spans="1:10" x14ac:dyDescent="0.25">
      <c r="A4" s="4" t="s">
        <v>35</v>
      </c>
      <c r="B4" s="1" t="s">
        <v>36</v>
      </c>
      <c r="C4">
        <v>1.35</v>
      </c>
      <c r="D4">
        <v>10</v>
      </c>
      <c r="E4">
        <f t="shared" si="0"/>
        <v>13.5</v>
      </c>
      <c r="F4" t="s">
        <v>37</v>
      </c>
      <c r="H4" s="3"/>
    </row>
    <row r="5" spans="1:10" x14ac:dyDescent="0.25">
      <c r="A5" s="3" t="s">
        <v>38</v>
      </c>
      <c r="B5" s="1" t="s">
        <v>39</v>
      </c>
      <c r="C5">
        <v>1.79</v>
      </c>
      <c r="D5">
        <v>10</v>
      </c>
      <c r="E5">
        <f t="shared" si="0"/>
        <v>17.899999999999999</v>
      </c>
      <c r="F5" t="s">
        <v>37</v>
      </c>
      <c r="H5" s="3"/>
    </row>
    <row r="6" spans="1:10" x14ac:dyDescent="0.25">
      <c r="A6" s="4" t="s">
        <v>40</v>
      </c>
      <c r="B6" s="1" t="s">
        <v>41</v>
      </c>
      <c r="C6">
        <v>2.2400000000000002</v>
      </c>
      <c r="D6">
        <v>10</v>
      </c>
      <c r="E6">
        <f t="shared" si="0"/>
        <v>22.400000000000002</v>
      </c>
      <c r="F6" t="s">
        <v>37</v>
      </c>
      <c r="H6" s="4" t="s">
        <v>42</v>
      </c>
      <c r="I6">
        <v>2.37</v>
      </c>
      <c r="J6" t="s">
        <v>43</v>
      </c>
    </row>
    <row r="7" spans="1:10" x14ac:dyDescent="0.25">
      <c r="A7" s="5" t="s">
        <v>44</v>
      </c>
      <c r="B7" s="1" t="s">
        <v>45</v>
      </c>
      <c r="C7">
        <v>3.78</v>
      </c>
      <c r="D7">
        <v>10</v>
      </c>
      <c r="E7">
        <f t="shared" si="0"/>
        <v>37.799999999999997</v>
      </c>
      <c r="F7" t="s">
        <v>37</v>
      </c>
      <c r="H7" s="3"/>
      <c r="I7">
        <v>2.1800000000000002</v>
      </c>
      <c r="J7" t="s">
        <v>43</v>
      </c>
    </row>
    <row r="8" spans="1:10" x14ac:dyDescent="0.25">
      <c r="A8" s="3" t="s">
        <v>46</v>
      </c>
      <c r="B8" s="1" t="s">
        <v>47</v>
      </c>
      <c r="C8">
        <v>3.16</v>
      </c>
      <c r="D8">
        <v>10</v>
      </c>
      <c r="E8">
        <f t="shared" si="0"/>
        <v>31.6</v>
      </c>
      <c r="F8" t="s">
        <v>37</v>
      </c>
      <c r="H8" s="3"/>
      <c r="I8">
        <v>2.46</v>
      </c>
      <c r="J8" t="s">
        <v>43</v>
      </c>
    </row>
    <row r="9" spans="1:10" x14ac:dyDescent="0.25">
      <c r="A9" s="3" t="s">
        <v>48</v>
      </c>
      <c r="B9" s="1" t="s">
        <v>49</v>
      </c>
      <c r="C9">
        <v>3.61</v>
      </c>
      <c r="D9">
        <v>10</v>
      </c>
      <c r="E9">
        <f t="shared" si="0"/>
        <v>36.1</v>
      </c>
      <c r="F9" t="s">
        <v>37</v>
      </c>
      <c r="H9" s="3"/>
      <c r="I9">
        <v>0.64</v>
      </c>
    </row>
    <row r="10" spans="1:10" x14ac:dyDescent="0.25">
      <c r="A10" s="3" t="s">
        <v>50</v>
      </c>
      <c r="B10" s="1" t="s">
        <v>51</v>
      </c>
      <c r="C10">
        <v>0.37</v>
      </c>
      <c r="D10">
        <v>50</v>
      </c>
      <c r="E10">
        <f t="shared" si="0"/>
        <v>18.5</v>
      </c>
      <c r="F10" t="s">
        <v>52</v>
      </c>
      <c r="H10" s="3"/>
      <c r="I10">
        <v>0.38</v>
      </c>
    </row>
    <row r="11" spans="1:10" x14ac:dyDescent="0.25">
      <c r="A11" s="6" t="s">
        <v>53</v>
      </c>
      <c r="B11" s="1" t="s">
        <v>80</v>
      </c>
      <c r="C11">
        <v>3.55</v>
      </c>
      <c r="D11">
        <v>10</v>
      </c>
      <c r="E11">
        <f t="shared" si="0"/>
        <v>35.5</v>
      </c>
      <c r="F11" t="s">
        <v>58</v>
      </c>
      <c r="G11" s="3"/>
      <c r="H11" s="5"/>
    </row>
    <row r="12" spans="1:10" x14ac:dyDescent="0.25">
      <c r="A12" s="3" t="s">
        <v>54</v>
      </c>
      <c r="B12" s="1" t="s">
        <v>83</v>
      </c>
      <c r="C12">
        <v>22.46</v>
      </c>
      <c r="D12">
        <v>3</v>
      </c>
      <c r="E12">
        <f t="shared" si="0"/>
        <v>67.38</v>
      </c>
      <c r="F12" t="s">
        <v>84</v>
      </c>
      <c r="H12" s="5"/>
    </row>
    <row r="13" spans="1:10" x14ac:dyDescent="0.25">
      <c r="A13" s="3" t="s">
        <v>55</v>
      </c>
      <c r="B13" s="1" t="s">
        <v>56</v>
      </c>
      <c r="C13">
        <v>6.09</v>
      </c>
      <c r="D13">
        <v>1</v>
      </c>
      <c r="E13">
        <f t="shared" si="0"/>
        <v>6.09</v>
      </c>
      <c r="H13" s="3"/>
      <c r="I13">
        <v>10.38</v>
      </c>
    </row>
    <row r="14" spans="1:10" x14ac:dyDescent="0.25">
      <c r="A14" s="3" t="s">
        <v>57</v>
      </c>
      <c r="B14" s="1" t="s">
        <v>82</v>
      </c>
      <c r="C14">
        <v>12.63</v>
      </c>
      <c r="D14">
        <v>4</v>
      </c>
      <c r="E14">
        <f t="shared" si="0"/>
        <v>50.52</v>
      </c>
      <c r="H14" s="5"/>
    </row>
    <row r="15" spans="1:10" x14ac:dyDescent="0.25">
      <c r="A15" s="3" t="s">
        <v>60</v>
      </c>
      <c r="B15" s="1" t="s">
        <v>59</v>
      </c>
      <c r="C15">
        <v>1.19</v>
      </c>
      <c r="D15">
        <v>10</v>
      </c>
      <c r="E15">
        <f t="shared" si="0"/>
        <v>11.899999999999999</v>
      </c>
      <c r="F15" t="s">
        <v>37</v>
      </c>
      <c r="H15" s="3"/>
    </row>
    <row r="16" spans="1:10" x14ac:dyDescent="0.25">
      <c r="A16" s="3" t="s">
        <v>62</v>
      </c>
      <c r="B16" s="1" t="s">
        <v>61</v>
      </c>
      <c r="C16">
        <v>2.74</v>
      </c>
      <c r="D16">
        <v>5</v>
      </c>
      <c r="E16">
        <f t="shared" si="0"/>
        <v>13.700000000000001</v>
      </c>
      <c r="F16" t="s">
        <v>63</v>
      </c>
    </row>
    <row r="17" spans="1:10" x14ac:dyDescent="0.25">
      <c r="A17" s="3" t="s">
        <v>65</v>
      </c>
      <c r="B17" s="1" t="s">
        <v>64</v>
      </c>
      <c r="C17">
        <v>1.1100000000000001</v>
      </c>
      <c r="D17">
        <v>10</v>
      </c>
      <c r="E17">
        <f t="shared" si="0"/>
        <v>11.100000000000001</v>
      </c>
      <c r="F17" t="s">
        <v>66</v>
      </c>
      <c r="H17" s="3"/>
      <c r="I17">
        <v>0.73</v>
      </c>
    </row>
    <row r="18" spans="1:10" x14ac:dyDescent="0.25">
      <c r="A18" s="3" t="s">
        <v>68</v>
      </c>
      <c r="B18" s="1" t="s">
        <v>67</v>
      </c>
      <c r="C18">
        <v>0.56999999999999995</v>
      </c>
      <c r="D18">
        <v>10</v>
      </c>
      <c r="E18">
        <f t="shared" si="0"/>
        <v>5.6999999999999993</v>
      </c>
      <c r="F18" t="s">
        <v>37</v>
      </c>
      <c r="H18" s="5"/>
      <c r="J18" t="s">
        <v>69</v>
      </c>
    </row>
    <row r="19" spans="1:10" x14ac:dyDescent="0.25">
      <c r="A19" s="3" t="s">
        <v>71</v>
      </c>
      <c r="B19" s="1" t="s">
        <v>70</v>
      </c>
      <c r="C19">
        <v>1.28</v>
      </c>
      <c r="D19">
        <v>5</v>
      </c>
      <c r="E19">
        <f t="shared" si="0"/>
        <v>6.4</v>
      </c>
      <c r="F19" t="s">
        <v>63</v>
      </c>
      <c r="H19" s="3"/>
      <c r="I19">
        <v>0.73</v>
      </c>
    </row>
    <row r="20" spans="1:10" x14ac:dyDescent="0.25">
      <c r="A20" s="3" t="s">
        <v>73</v>
      </c>
      <c r="B20" s="1" t="s">
        <v>72</v>
      </c>
      <c r="C20">
        <v>0.5</v>
      </c>
      <c r="D20">
        <v>25</v>
      </c>
      <c r="E20">
        <f t="shared" si="0"/>
        <v>12.5</v>
      </c>
      <c r="F20" t="s">
        <v>74</v>
      </c>
    </row>
    <row r="21" spans="1:10" x14ac:dyDescent="0.25">
      <c r="A21" s="3" t="s">
        <v>76</v>
      </c>
      <c r="B21" s="1" t="s">
        <v>75</v>
      </c>
      <c r="C21">
        <v>0.73</v>
      </c>
      <c r="D21">
        <v>5</v>
      </c>
      <c r="E21">
        <f t="shared" si="0"/>
        <v>3.65</v>
      </c>
      <c r="G21" s="3"/>
    </row>
    <row r="22" spans="1:10" x14ac:dyDescent="0.25">
      <c r="A22" s="3" t="s">
        <v>77</v>
      </c>
      <c r="B22" s="1" t="s">
        <v>81</v>
      </c>
      <c r="C22">
        <v>0.3</v>
      </c>
      <c r="D22">
        <v>10</v>
      </c>
      <c r="E22">
        <f t="shared" si="0"/>
        <v>3</v>
      </c>
      <c r="G22" s="3"/>
      <c r="H22" s="3"/>
      <c r="I22">
        <v>0.05</v>
      </c>
    </row>
    <row r="23" spans="1:10" x14ac:dyDescent="0.25">
      <c r="A23" s="3" t="s">
        <v>78</v>
      </c>
      <c r="B23" s="1" t="s">
        <v>79</v>
      </c>
      <c r="C23">
        <v>27.04</v>
      </c>
      <c r="D23">
        <v>1</v>
      </c>
      <c r="E23">
        <f t="shared" si="0"/>
        <v>27.04</v>
      </c>
      <c r="G23" s="3"/>
    </row>
    <row r="26" spans="1:10" x14ac:dyDescent="0.25">
      <c r="C26" s="7">
        <f>SUM(E2,E3,E5,E8,E9,E10,E11,E12,E13,E14,E15,E16,E17,E18,E19,E20,E21,E22)</f>
        <v>479.03999999999991</v>
      </c>
    </row>
  </sheetData>
  <hyperlinks>
    <hyperlink ref="B2" r:id="rId1" display="https://www.tme.eu/ro/details/abx00101/solutii-arduino/arduino/modulino-movement/" xr:uid="{D35C8069-DF58-4977-BE39-0F80C116EE80}"/>
    <hyperlink ref="B3" r:id="rId2" display="https://www.tme.eu/ro/details/nucleo-f411re/kituri-de-dezvoltare-stm/stmicroelectronics/" xr:uid="{DD1EE9A0-CC48-4190-8699-3CA1ACC44606}"/>
    <hyperlink ref="B4" r:id="rId3" display="https://www.tme.eu/ro/details/tsal6200/diode-led-ir/vishay/" xr:uid="{5ED32442-907C-4E34-B44C-3E6D0E75B036}"/>
    <hyperlink ref="B5" r:id="rId4" display="https://www.tme.eu/ro/details/tsal6100/diode-led-ir/vishay/" xr:uid="{FFA4B2AA-F034-408B-8071-11CC4F162F4B}"/>
    <hyperlink ref="B6" r:id="rId5" display="https://www.tme.eu/ro/details/sfh4544/diode-led-ir/ams-osram/sfh-4544/" xr:uid="{19096F90-16E2-4480-9FF3-71FFEC001313}"/>
    <hyperlink ref="B7" r:id="rId6" display="https://www.tme.eu/ro/details/vbpw34s/fotodiode/vishay/" xr:uid="{308726DB-775C-4AC2-8095-DC9FE1AD9733}"/>
    <hyperlink ref="B8" r:id="rId7" display="https://www.tme.eu/ro/details/bpv10nf/fotodiode/vishay/" xr:uid="{F4E73290-E2EA-4A34-BEB3-C8149A259B58}"/>
    <hyperlink ref="B9" r:id="rId8" display="https://www.tme.eu/ro/details/tlv9062idr/amplificatori-operationali-smd/texas-instruments/" xr:uid="{F7F78B5C-9280-4DC9-BFAC-B451914D6A8B}"/>
    <hyperlink ref="B10" r:id="rId9" display="https://www.tme.eu/ro/details/ao3400a/tranzistori-canal-n-smd/alpha-omega-semiconductor/" xr:uid="{0FD000D7-0E7D-49A9-B04C-5DF15C0D2A4F}"/>
    <hyperlink ref="B13" r:id="rId10" display="https://sigmanortec.ro/en/motor-driver-module-dual-h-bridge-drv8833-15a" xr:uid="{09DA05FC-4EC6-4663-A8D4-D3A7AFBC7C90}"/>
    <hyperlink ref="B15" r:id="rId11" display="https://www.tme.eu/ro/details/8.00m-smdhc49s/resonators-and-generators/yic/" xr:uid="{D854907E-B6FD-4059-9AEB-51C003A3EA30}"/>
    <hyperlink ref="B16" r:id="rId12" display="https://www.tme.eu/ro/details/303a-753018-000/alti-conectori/attend/" xr:uid="{DE9E3531-6F67-4C1A-9B62-120BA127E96F}"/>
    <hyperlink ref="B17" r:id="rId13" display="https://www.tme.eu/ro/details/ap62300z6-7/regulatoare-de-tensiune-circuite-dc-dc/diodes-incorporated/" xr:uid="{DFF0BFBA-457D-4A63-8609-714C56CEFEC9}"/>
    <hyperlink ref="B18" r:id="rId14" display="https://www.tme.eu/ro/details/nrs5030t3r3mmgj/inductoare/taiyo-yuden/" xr:uid="{F84D9F15-F947-41BF-A340-EF05FD09EFA3}"/>
    <hyperlink ref="B19" r:id="rId15" display="https://www.tme.eu/ro/details/tlv75533pdbvr/regulatoare-de-tensiune-neregulata-ldo/texas-instruments/" xr:uid="{D5B319E1-3C65-4490-B1E2-92BEDA1C32B9}"/>
    <hyperlink ref="B20" r:id="rId16" display="https://www.tme.eu/ro/en/details/rf-w7sp30ts-a44/smd-colour-leds/refond/" xr:uid="{073AE1EF-0A51-4AD1-A06C-5B3780EA93DB}"/>
    <hyperlink ref="B21" r:id="rId17" display="https://sigmanortec.ro/Buton-micro-fara-retinere-1-6mm-p125704779" xr:uid="{78EBB1CC-DCA0-4B8D-9BE2-131648C30513}"/>
    <hyperlink ref="B23" r:id="rId18" display="https://sigmanortec.ro/Modul-Bluetooth-HC-05-p141736971" xr:uid="{06EA724F-2F75-42C8-9D03-DE904D629705}"/>
    <hyperlink ref="B11" r:id="rId19" display="https://sigmanortec.ro/en/tcrt5000-optical-sensor-reflective" xr:uid="{D6875E0E-C9D6-4A33-80D3-57B66847159A}"/>
    <hyperlink ref="B22" r:id="rId20" display="https://sigmanortec.ro/Dioda-Schottky-1N5819-SMD-SS14-40V-p128704286" xr:uid="{AAB622CC-496F-4D82-BB64-6702C306E039}"/>
    <hyperlink ref="B14" r:id="rId21" display="https://sigmanortec.ro/Motor-mini-coreless-20x8-5-ax-1mm-50000RPM-p209682505" xr:uid="{6EC8C066-736E-4A8E-94C1-5C8022FB4FB4}"/>
    <hyperlink ref="B12" r:id="rId22" display="https://sigmanortec.ro/Motor-DC-mini-angrenaje-metal-N20-500RPM-p211611036" xr:uid="{D6E021C5-0206-4DFD-A02A-D84562DB69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9B66-5F3A-4F4A-A224-DB9DBA2C8397}">
  <dimension ref="A1:H17"/>
  <sheetViews>
    <sheetView workbookViewId="0">
      <selection activeCell="B17" sqref="B17"/>
    </sheetView>
  </sheetViews>
  <sheetFormatPr defaultRowHeight="15" x14ac:dyDescent="0.25"/>
  <cols>
    <col min="1" max="1" width="7.28515625" bestFit="1" customWidth="1"/>
    <col min="2" max="2" width="136.7109375" bestFit="1" customWidth="1"/>
    <col min="3" max="3" width="14.5703125" bestFit="1" customWidth="1"/>
    <col min="4" max="4" width="5.7109375" customWidth="1"/>
    <col min="5" max="5" width="10.28515625" bestFit="1" customWidth="1"/>
    <col min="6" max="6" width="11.28515625" bestFit="1" customWidth="1"/>
    <col min="7" max="7" width="21.42578125" bestFit="1" customWidth="1"/>
    <col min="8" max="8" width="20.42578125" bestFit="1" customWidth="1"/>
  </cols>
  <sheetData>
    <row r="1" spans="1:8" x14ac:dyDescent="0.25">
      <c r="A1" s="2" t="s">
        <v>0</v>
      </c>
      <c r="B1" t="s">
        <v>1</v>
      </c>
      <c r="C1" s="2" t="s">
        <v>6</v>
      </c>
      <c r="D1" s="2" t="s">
        <v>2</v>
      </c>
      <c r="E1" s="2" t="s">
        <v>7</v>
      </c>
      <c r="F1" s="2" t="s">
        <v>3</v>
      </c>
      <c r="G1" s="2" t="s">
        <v>12</v>
      </c>
    </row>
    <row r="2" spans="1:8" x14ac:dyDescent="0.25">
      <c r="A2" s="8" t="s">
        <v>4</v>
      </c>
      <c r="B2" s="1" t="s">
        <v>5</v>
      </c>
      <c r="C2">
        <v>34.35</v>
      </c>
      <c r="D2">
        <v>3</v>
      </c>
      <c r="E2">
        <f>C2*D2</f>
        <v>103.05000000000001</v>
      </c>
    </row>
    <row r="3" spans="1:8" x14ac:dyDescent="0.25">
      <c r="A3" s="8"/>
      <c r="B3" s="1" t="s">
        <v>11</v>
      </c>
      <c r="C3">
        <v>49.77</v>
      </c>
      <c r="D3">
        <v>3</v>
      </c>
      <c r="E3">
        <f t="shared" ref="E3:E17" si="0">C3*D3</f>
        <v>149.31</v>
      </c>
      <c r="G3" t="s">
        <v>13</v>
      </c>
    </row>
    <row r="4" spans="1:8" x14ac:dyDescent="0.25">
      <c r="A4" s="8" t="s">
        <v>8</v>
      </c>
      <c r="B4" s="1" t="s">
        <v>9</v>
      </c>
      <c r="C4">
        <v>86.67</v>
      </c>
      <c r="D4">
        <v>1</v>
      </c>
      <c r="E4">
        <f t="shared" si="0"/>
        <v>86.67</v>
      </c>
    </row>
    <row r="5" spans="1:8" x14ac:dyDescent="0.25">
      <c r="A5" s="8"/>
      <c r="B5" s="1" t="s">
        <v>10</v>
      </c>
      <c r="C5">
        <v>86.35</v>
      </c>
      <c r="D5">
        <v>1</v>
      </c>
      <c r="E5">
        <f t="shared" si="0"/>
        <v>86.35</v>
      </c>
    </row>
    <row r="6" spans="1:8" x14ac:dyDescent="0.25">
      <c r="A6" s="8"/>
      <c r="B6" s="1" t="s">
        <v>22</v>
      </c>
      <c r="C6">
        <v>104.67</v>
      </c>
      <c r="D6">
        <v>1</v>
      </c>
      <c r="E6">
        <f t="shared" si="0"/>
        <v>104.67</v>
      </c>
    </row>
    <row r="7" spans="1:8" x14ac:dyDescent="0.25">
      <c r="A7" t="s">
        <v>14</v>
      </c>
      <c r="B7" s="1" t="s">
        <v>15</v>
      </c>
      <c r="C7">
        <v>149.44</v>
      </c>
      <c r="D7">
        <v>2</v>
      </c>
      <c r="E7">
        <f t="shared" si="0"/>
        <v>298.88</v>
      </c>
      <c r="G7" t="s">
        <v>17</v>
      </c>
    </row>
    <row r="8" spans="1:8" x14ac:dyDescent="0.25">
      <c r="B8" s="1" t="s">
        <v>16</v>
      </c>
      <c r="C8">
        <v>120</v>
      </c>
      <c r="D8">
        <v>2</v>
      </c>
      <c r="E8">
        <f t="shared" si="0"/>
        <v>240</v>
      </c>
      <c r="G8" t="s">
        <v>18</v>
      </c>
    </row>
    <row r="9" spans="1:8" x14ac:dyDescent="0.25">
      <c r="B9" s="1" t="s">
        <v>19</v>
      </c>
      <c r="C9">
        <v>54.8</v>
      </c>
      <c r="D9">
        <v>3</v>
      </c>
      <c r="E9">
        <f t="shared" si="0"/>
        <v>164.39999999999998</v>
      </c>
      <c r="G9" t="s">
        <v>20</v>
      </c>
      <c r="H9" t="s">
        <v>21</v>
      </c>
    </row>
    <row r="10" spans="1:8" x14ac:dyDescent="0.25">
      <c r="B10" s="1" t="s">
        <v>23</v>
      </c>
      <c r="E10">
        <f t="shared" si="0"/>
        <v>0</v>
      </c>
      <c r="G10" t="s">
        <v>24</v>
      </c>
      <c r="H10" t="s">
        <v>25</v>
      </c>
    </row>
    <row r="11" spans="1:8" x14ac:dyDescent="0.25">
      <c r="E11">
        <f t="shared" si="0"/>
        <v>0</v>
      </c>
    </row>
    <row r="12" spans="1:8" x14ac:dyDescent="0.25">
      <c r="E12">
        <f t="shared" si="0"/>
        <v>0</v>
      </c>
    </row>
    <row r="13" spans="1:8" x14ac:dyDescent="0.25">
      <c r="E13">
        <f t="shared" si="0"/>
        <v>0</v>
      </c>
    </row>
    <row r="14" spans="1:8" x14ac:dyDescent="0.25">
      <c r="E14">
        <f t="shared" si="0"/>
        <v>0</v>
      </c>
    </row>
    <row r="15" spans="1:8" x14ac:dyDescent="0.25">
      <c r="E15">
        <f t="shared" si="0"/>
        <v>0</v>
      </c>
    </row>
    <row r="16" spans="1:8" x14ac:dyDescent="0.25">
      <c r="E16">
        <f t="shared" si="0"/>
        <v>0</v>
      </c>
    </row>
    <row r="17" spans="5:5" x14ac:dyDescent="0.25">
      <c r="E17">
        <f t="shared" si="0"/>
        <v>0</v>
      </c>
    </row>
  </sheetData>
  <mergeCells count="2">
    <mergeCell ref="A2:A3"/>
    <mergeCell ref="A4:A6"/>
  </mergeCells>
  <hyperlinks>
    <hyperlink ref="B2" r:id="rId1" xr:uid="{889D9FA3-C62A-44E5-8F5D-0E230AF6095E}"/>
    <hyperlink ref="B4" r:id="rId2" xr:uid="{40035834-CF7E-4C0B-B133-C45520D847B3}"/>
    <hyperlink ref="B5" r:id="rId3" xr:uid="{6C62A034-CDD6-4DF3-9187-8E88DED7D2CD}"/>
    <hyperlink ref="B3" r:id="rId4" xr:uid="{B827CA6A-48AF-48B9-80C2-52EC8A49F5D5}"/>
    <hyperlink ref="B7" r:id="rId5" xr:uid="{4DABD8DF-E279-4824-9E41-547C3665C450}"/>
    <hyperlink ref="B8" r:id="rId6" xr:uid="{78C437F3-D69A-4B42-9D12-C4C2B9B9DCA3}"/>
    <hyperlink ref="B9" r:id="rId7" xr:uid="{32D49045-FFE5-472D-B430-7FCE76119486}"/>
    <hyperlink ref="B10" r:id="rId8" xr:uid="{B54E7FEC-2266-4F29-A9C9-6E1F9313DEB7}"/>
  </hyperlinks>
  <pageMargins left="0.7" right="0.7" top="0.75" bottom="0.75" header="0.3" footer="0.3"/>
  <pageSetup orientation="landscape" horizontalDpi="0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Monoran</dc:creator>
  <cp:lastModifiedBy>David Monoran</cp:lastModifiedBy>
  <dcterms:created xsi:type="dcterms:W3CDTF">2026-07-23T15:33:35Z</dcterms:created>
  <dcterms:modified xsi:type="dcterms:W3CDTF">2026-08-09T19:11:02Z</dcterms:modified>
</cp:coreProperties>
</file>