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Desktop\projects\micromouse\"/>
    </mc:Choice>
  </mc:AlternateContent>
  <xr:revisionPtr revIDLastSave="0" documentId="13_ncr:1_{147A76E5-BC48-4C5A-878D-E5F0A357B133}" xr6:coauthVersionLast="47" xr6:coauthVersionMax="47" xr10:uidLastSave="{00000000-0000-0000-0000-000000000000}"/>
  <bookViews>
    <workbookView xWindow="-120" yWindow="-120" windowWidth="29040" windowHeight="15720" xr2:uid="{FFDE713F-859F-4B3F-BED4-C08AC22FA580}"/>
  </bookViews>
  <sheets>
    <sheet name="general" sheetId="1" r:id="rId1"/>
    <sheet name="pcb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6" i="1" l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2" i="1"/>
</calcChain>
</file>

<file path=xl/sharedStrings.xml><?xml version="1.0" encoding="utf-8"?>
<sst xmlns="http://schemas.openxmlformats.org/spreadsheetml/2006/main" count="32" uniqueCount="31">
  <si>
    <t>part</t>
  </si>
  <si>
    <t>link</t>
  </si>
  <si>
    <t>pcs</t>
  </si>
  <si>
    <t>OK/NOT OK</t>
  </si>
  <si>
    <t>STM32</t>
  </si>
  <si>
    <t>https://www.digikey.com/en/products/detail/stmicroelectronics/STM32F411RET6/4935722</t>
  </si>
  <si>
    <t>price (ron) /pcs</t>
  </si>
  <si>
    <t>price (ron)</t>
  </si>
  <si>
    <t>nucleo</t>
  </si>
  <si>
    <t>https://www.digikey.com/en/products/detail/stmicroelectronics/NUCLEO-F411RE/4866485?s=N4IgTCBcDaIHIFUDCAZAogeQLQDEAsAjAQEpogC6AvkA</t>
  </si>
  <si>
    <t>https://www.tme.eu/ro/details/nucleo-f411re/kituri-de-dezvoltare-stm/stmicroelectronics/</t>
  </si>
  <si>
    <t>https://www.tme.eu/ro/details/stm32f411ret6/microcontrolere-st/stmicroelectronics/</t>
  </si>
  <si>
    <t>Obs</t>
  </si>
  <si>
    <t>min 3 pcs for that price</t>
  </si>
  <si>
    <t>motors</t>
  </si>
  <si>
    <t>https://www.pololu.com/product/5187</t>
  </si>
  <si>
    <t>https://robomaniacs.ro/product/micromotor-cu-angrenaj-core-6v/</t>
  </si>
  <si>
    <t>pricy shiping</t>
  </si>
  <si>
    <t>750rpm no encoder</t>
  </si>
  <si>
    <t>https://www.dfrobot.com/product-1431.html</t>
  </si>
  <si>
    <t>530rpm encoder</t>
  </si>
  <si>
    <t>drfobot 18usd shiping</t>
  </si>
  <si>
    <t>https://botland.store/stm32-nucleo/3363-stm32-nucleo-f411re-module-stm32f411re-arm-cortex-m4-5904422331764.html</t>
  </si>
  <si>
    <t>STM32F411RET6</t>
  </si>
  <si>
    <t>JLCPCB</t>
  </si>
  <si>
    <t>https://jlcpcb.com/partdetail/STMicroelectronics-STM32F411RET6/C94355</t>
  </si>
  <si>
    <t>BMI270</t>
  </si>
  <si>
    <t>https://jlcpcb.com/partdetail/BoschSensortec-BMI270/C2836813</t>
  </si>
  <si>
    <t>https://botland.store/dc-micro-motors-with-gearbox/5093-hpcb-motor-with-50-1-gear-doublesided-shaft-pololu-3073-5904422306359.html</t>
  </si>
  <si>
    <t>w/o encoder</t>
  </si>
  <si>
    <t>https://botland.store/encoders/8258-magnetic-encoder-pair-kit-for-20d-mm-metal-gearmotors-20-cpr-27-18v-pololu-3499-5904422375782.html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</si>
</sst>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tme.eu/ro/details/nucleo-f411re/kituri-de-dezvoltare-stm/stmicroelectronics/" TargetMode="External"/><Relationship Id="rId7" Type="http://schemas.openxmlformats.org/officeDocument/2006/relationships/hyperlink" Target="https://www.dfrobot.com/product-1431.html" TargetMode="External"/><Relationship Id="rId2" Type="http://schemas.openxmlformats.org/officeDocument/2006/relationships/hyperlink" Target="https://www.digikey.com/en/products/detail/stmicroelectronics/NUCLEO-F411RE/4866485?s=N4IgTCBcDaIHIFUDCAZAogeQLQDEAsAjAQEpogC6AvkA" TargetMode="External"/><Relationship Id="rId1" Type="http://schemas.openxmlformats.org/officeDocument/2006/relationships/hyperlink" Target="https://www.digikey.com/en/products/detail/stmicroelectronics/STM32F411RET6/4935722" TargetMode="External"/><Relationship Id="rId6" Type="http://schemas.openxmlformats.org/officeDocument/2006/relationships/hyperlink" Target="https://robomaniacs.ro/product/micromotor-cu-angrenaj-core-6v/" TargetMode="External"/><Relationship Id="rId5" Type="http://schemas.openxmlformats.org/officeDocument/2006/relationships/hyperlink" Target="https://www.pololu.com/product/5187" TargetMode="External"/><Relationship Id="rId4" Type="http://schemas.openxmlformats.org/officeDocument/2006/relationships/hyperlink" Target="https://www.tme.eu/ro/details/stm32f411ret6/microcontrolere-st/stmicroelectronic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9B66-5F3A-4F4A-A224-DB9DBA2C8397}">
  <dimension ref="A1:H17"/>
  <sheetViews>
    <sheetView tabSelected="1" workbookViewId="0">
      <selection activeCell="B9" sqref="B4:B9"/>
    </sheetView>
  </sheetViews>
  <sheetFormatPr defaultRowHeight="15" x14ac:dyDescent="0.25"/>
  <cols>
    <col min="1" max="1" width="7.28515625" bestFit="1" customWidth="1"/>
    <col min="2" max="2" width="136.7109375" bestFit="1" customWidth="1"/>
    <col min="3" max="3" width="14.5703125" bestFit="1" customWidth="1"/>
    <col min="4" max="4" width="5.7109375" customWidth="1"/>
    <col min="5" max="5" width="10.28515625" bestFit="1" customWidth="1"/>
    <col min="6" max="6" width="11.28515625" bestFit="1" customWidth="1"/>
    <col min="7" max="7" width="21.42578125" bestFit="1" customWidth="1"/>
    <col min="8" max="8" width="20.42578125" bestFit="1" customWidth="1"/>
  </cols>
  <sheetData>
    <row r="1" spans="1:8" x14ac:dyDescent="0.25">
      <c r="A1" s="2" t="s">
        <v>0</v>
      </c>
      <c r="B1" t="s">
        <v>1</v>
      </c>
      <c r="C1" s="2" t="s">
        <v>6</v>
      </c>
      <c r="D1" s="2" t="s">
        <v>2</v>
      </c>
      <c r="E1" s="2" t="s">
        <v>7</v>
      </c>
      <c r="F1" s="2" t="s">
        <v>3</v>
      </c>
      <c r="G1" s="2" t="s">
        <v>12</v>
      </c>
    </row>
    <row r="2" spans="1:8" x14ac:dyDescent="0.25">
      <c r="A2" s="3" t="s">
        <v>4</v>
      </c>
      <c r="B2" s="1" t="s">
        <v>5</v>
      </c>
      <c r="C2">
        <v>34.35</v>
      </c>
      <c r="D2">
        <v>3</v>
      </c>
      <c r="E2">
        <f>C2*D2</f>
        <v>103.05000000000001</v>
      </c>
    </row>
    <row r="3" spans="1:8" x14ac:dyDescent="0.25">
      <c r="A3" s="3"/>
      <c r="B3" s="1" t="s">
        <v>11</v>
      </c>
      <c r="C3">
        <v>49.77</v>
      </c>
      <c r="D3">
        <v>3</v>
      </c>
      <c r="E3">
        <f t="shared" ref="E3:E17" si="0">C3*D3</f>
        <v>149.31</v>
      </c>
      <c r="G3" t="s">
        <v>13</v>
      </c>
    </row>
    <row r="4" spans="1:8" x14ac:dyDescent="0.25">
      <c r="A4" s="3" t="s">
        <v>8</v>
      </c>
      <c r="B4" s="1" t="s">
        <v>9</v>
      </c>
      <c r="C4">
        <v>86.67</v>
      </c>
      <c r="D4">
        <v>1</v>
      </c>
      <c r="E4">
        <f t="shared" si="0"/>
        <v>86.67</v>
      </c>
    </row>
    <row r="5" spans="1:8" x14ac:dyDescent="0.25">
      <c r="A5" s="3"/>
      <c r="B5" s="1" t="s">
        <v>10</v>
      </c>
      <c r="C5">
        <v>86.35</v>
      </c>
      <c r="D5">
        <v>1</v>
      </c>
      <c r="E5">
        <f t="shared" si="0"/>
        <v>86.35</v>
      </c>
    </row>
    <row r="6" spans="1:8" x14ac:dyDescent="0.25">
      <c r="A6" s="3"/>
      <c r="B6" s="1" t="s">
        <v>22</v>
      </c>
      <c r="C6">
        <v>104.67</v>
      </c>
      <c r="D6">
        <v>1</v>
      </c>
      <c r="E6">
        <f t="shared" si="0"/>
        <v>104.67</v>
      </c>
    </row>
    <row r="7" spans="1:8" x14ac:dyDescent="0.25">
      <c r="A7" t="s">
        <v>14</v>
      </c>
      <c r="B7" s="1" t="s">
        <v>15</v>
      </c>
      <c r="C7">
        <v>149.44</v>
      </c>
      <c r="D7">
        <v>2</v>
      </c>
      <c r="E7">
        <f t="shared" si="0"/>
        <v>298.88</v>
      </c>
      <c r="G7" t="s">
        <v>17</v>
      </c>
    </row>
    <row r="8" spans="1:8" x14ac:dyDescent="0.25">
      <c r="B8" s="1" t="s">
        <v>16</v>
      </c>
      <c r="C8">
        <v>120</v>
      </c>
      <c r="D8">
        <v>2</v>
      </c>
      <c r="E8">
        <f t="shared" si="0"/>
        <v>240</v>
      </c>
      <c r="G8" t="s">
        <v>18</v>
      </c>
    </row>
    <row r="9" spans="1:8" x14ac:dyDescent="0.25">
      <c r="B9" s="1" t="s">
        <v>19</v>
      </c>
      <c r="C9">
        <v>54.8</v>
      </c>
      <c r="D9">
        <v>3</v>
      </c>
      <c r="E9">
        <f t="shared" si="0"/>
        <v>164.39999999999998</v>
      </c>
      <c r="G9" t="s">
        <v>20</v>
      </c>
      <c r="H9" t="s">
        <v>21</v>
      </c>
    </row>
    <row r="10" spans="1:8" x14ac:dyDescent="0.25">
      <c r="B10" t="s">
        <v>28</v>
      </c>
      <c r="E10">
        <f t="shared" si="0"/>
        <v>0</v>
      </c>
      <c r="G10" t="s">
        <v>29</v>
      </c>
      <c r="H10" t="s">
        <v>30</v>
      </c>
    </row>
    <row r="11" spans="1:8" x14ac:dyDescent="0.25">
      <c r="E11">
        <f t="shared" si="0"/>
        <v>0</v>
      </c>
    </row>
    <row r="12" spans="1:8" x14ac:dyDescent="0.25">
      <c r="E12">
        <f t="shared" si="0"/>
        <v>0</v>
      </c>
    </row>
    <row r="13" spans="1:8" x14ac:dyDescent="0.25">
      <c r="E13">
        <f t="shared" si="0"/>
        <v>0</v>
      </c>
    </row>
    <row r="14" spans="1:8" x14ac:dyDescent="0.25">
      <c r="E14">
        <f t="shared" si="0"/>
        <v>0</v>
      </c>
    </row>
    <row r="15" spans="1:8" x14ac:dyDescent="0.25">
      <c r="E15">
        <f t="shared" si="0"/>
        <v>0</v>
      </c>
    </row>
    <row r="16" spans="1:8" x14ac:dyDescent="0.25">
      <c r="E16">
        <f t="shared" si="0"/>
        <v>0</v>
      </c>
    </row>
    <row r="17" spans="5:5" x14ac:dyDescent="0.25">
      <c r="E17">
        <f t="shared" si="0"/>
        <v>0</v>
      </c>
    </row>
  </sheetData>
  <mergeCells count="2">
    <mergeCell ref="A2:A3"/>
    <mergeCell ref="A4:A6"/>
  </mergeCells>
  <hyperlinks>
    <hyperlink ref="B2" r:id="rId1" xr:uid="{889D9FA3-C62A-44E5-8F5D-0E230AF6095E}"/>
    <hyperlink ref="B4" r:id="rId2" xr:uid="{40035834-CF7E-4C0B-B133-C45520D847B3}"/>
    <hyperlink ref="B5" r:id="rId3" xr:uid="{6C62A034-CDD6-4DF3-9187-8E88DED7D2CD}"/>
    <hyperlink ref="B3" r:id="rId4" xr:uid="{B827CA6A-48AF-48B9-80C2-52EC8A49F5D5}"/>
    <hyperlink ref="B7" r:id="rId5" xr:uid="{4DABD8DF-E279-4824-9E41-547C3665C450}"/>
    <hyperlink ref="B8" r:id="rId6" xr:uid="{78C437F3-D69A-4B42-9D12-C4C2B9B9DCA3}"/>
    <hyperlink ref="B9" r:id="rId7" xr:uid="{32D49045-FFE5-472D-B430-7FCE76119486}"/>
  </hyperlinks>
  <pageMargins left="0.7" right="0.7" top="0.75" bottom="0.75" header="0.3" footer="0.3"/>
  <pageSetup orientation="landscape" horizontalDpi="0" verticalDpi="0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455D6-BE7A-47AE-8237-44C2B2E9EDA7}">
  <dimension ref="A1:D2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3" max="3" width="68" bestFit="1" customWidth="1"/>
  </cols>
  <sheetData>
    <row r="1" spans="1:4" x14ac:dyDescent="0.25">
      <c r="A1" t="s">
        <v>23</v>
      </c>
      <c r="B1" t="s">
        <v>24</v>
      </c>
      <c r="C1" t="s">
        <v>25</v>
      </c>
      <c r="D1">
        <v>16.34</v>
      </c>
    </row>
    <row r="2" spans="1:4" x14ac:dyDescent="0.25">
      <c r="A2" t="s">
        <v>26</v>
      </c>
      <c r="B2" t="s">
        <v>24</v>
      </c>
      <c r="C2" t="s">
        <v>27</v>
      </c>
      <c r="D2">
        <v>16.52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general</vt:lpstr>
      <vt:lpstr>pcb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Monoran</dc:creator>
  <cp:lastModifiedBy>David Monoran</cp:lastModifiedBy>
  <dcterms:created xsi:type="dcterms:W3CDTF">2026-07-23T15:33:35Z</dcterms:created>
  <dcterms:modified xsi:type="dcterms:W3CDTF">2026-07-25T16:23:05Z</dcterms:modified>
</cp:coreProperties>
</file>