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vid\Desktop\projects\micromouse\"/>
    </mc:Choice>
  </mc:AlternateContent>
  <xr:revisionPtr revIDLastSave="0" documentId="13_ncr:1_{C2D2E965-468B-4F7E-9798-8B86A0F0E30C}" xr6:coauthVersionLast="47" xr6:coauthVersionMax="47" xr10:uidLastSave="{00000000-0000-0000-0000-000000000000}"/>
  <bookViews>
    <workbookView xWindow="-57720" yWindow="-120" windowWidth="29040" windowHeight="15720" xr2:uid="{FFDE713F-859F-4B3F-BED4-C08AC22FA580}"/>
  </bookViews>
  <sheets>
    <sheet name="parts" sheetId="5" r:id="rId1"/>
    <sheet name="parts_old" sheetId="3" r:id="rId2"/>
    <sheet name="general" sheetId="1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3" i="5" l="1"/>
  <c r="H23" i="5" s="1"/>
  <c r="G14" i="5"/>
  <c r="H14" i="5" s="1"/>
  <c r="G15" i="5"/>
  <c r="H15" i="5" s="1"/>
  <c r="H3" i="5"/>
  <c r="G16" i="5"/>
  <c r="H16" i="5" s="1"/>
  <c r="G17" i="5"/>
  <c r="H17" i="5" s="1"/>
  <c r="G18" i="5"/>
  <c r="H18" i="5" s="1"/>
  <c r="G19" i="5"/>
  <c r="H19" i="5" s="1"/>
  <c r="H4" i="5"/>
  <c r="G20" i="5"/>
  <c r="H20" i="5" s="1"/>
  <c r="G21" i="5"/>
  <c r="H21" i="5" s="1"/>
  <c r="G22" i="5"/>
  <c r="H22" i="5" s="1"/>
  <c r="H5" i="5"/>
  <c r="G11" i="5"/>
  <c r="H11" i="5" s="1"/>
  <c r="G12" i="5"/>
  <c r="H12" i="5" s="1"/>
  <c r="G13" i="5"/>
  <c r="H13" i="5" s="1"/>
  <c r="G24" i="5"/>
  <c r="H24" i="5" s="1"/>
  <c r="H7" i="5"/>
  <c r="H8" i="5"/>
  <c r="H9" i="5"/>
  <c r="H6" i="5"/>
  <c r="H10" i="5"/>
  <c r="H2" i="5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6" i="1"/>
  <c r="E3" i="1"/>
  <c r="E4" i="1"/>
  <c r="E5" i="1"/>
  <c r="E7" i="1"/>
  <c r="E8" i="1"/>
  <c r="E9" i="1"/>
  <c r="E10" i="1"/>
  <c r="E11" i="1"/>
  <c r="E12" i="1"/>
  <c r="E13" i="1"/>
  <c r="E14" i="1"/>
  <c r="E15" i="1"/>
  <c r="E16" i="1"/>
  <c r="E17" i="1"/>
  <c r="E2" i="1"/>
  <c r="B27" i="5" l="1"/>
  <c r="G28" i="5"/>
  <c r="C26" i="3"/>
</calcChain>
</file>

<file path=xl/sharedStrings.xml><?xml version="1.0" encoding="utf-8"?>
<sst xmlns="http://schemas.openxmlformats.org/spreadsheetml/2006/main" count="215" uniqueCount="161">
  <si>
    <t>part</t>
  </si>
  <si>
    <t>link</t>
  </si>
  <si>
    <t>pcs</t>
  </si>
  <si>
    <t>OK/NOT OK</t>
  </si>
  <si>
    <t>STM32</t>
  </si>
  <si>
    <t>https://www.digikey.com/en/products/detail/stmicroelectronics/STM32F411RET6/4935722</t>
  </si>
  <si>
    <t>price (ron) /pcs</t>
  </si>
  <si>
    <t>price (ron)</t>
  </si>
  <si>
    <t>nucleo</t>
  </si>
  <si>
    <t>https://www.digikey.com/en/products/detail/stmicroelectronics/NUCLEO-F411RE/4866485?s=N4IgTCBcDaIHIFUDCAZAogeQLQDEAsAjAQEpogC6AvkA</t>
  </si>
  <si>
    <t>https://www.tme.eu/ro/details/nucleo-f411re/kituri-de-dezvoltare-stm/stmicroelectronics/</t>
  </si>
  <si>
    <t>https://www.tme.eu/ro/details/stm32f411ret6/microcontrolere-st/stmicroelectronics/</t>
  </si>
  <si>
    <t>Obs</t>
  </si>
  <si>
    <t>min 3 pcs for that price</t>
  </si>
  <si>
    <t>motors</t>
  </si>
  <si>
    <t>https://www.pololu.com/product/5187</t>
  </si>
  <si>
    <t>https://robomaniacs.ro/product/micromotor-cu-angrenaj-core-6v/</t>
  </si>
  <si>
    <t>pricy shiping</t>
  </si>
  <si>
    <t>750rpm no encoder</t>
  </si>
  <si>
    <t>https://www.dfrobot.com/product-1431.html</t>
  </si>
  <si>
    <t>530rpm encoder</t>
  </si>
  <si>
    <t>drfobot 18usd shiping</t>
  </si>
  <si>
    <t>https://botland.store/stm32-nucleo/3363-stm32-nucleo-f411re-module-stm32f411re-arm-cortex-m4-5904422331764.html</t>
  </si>
  <si>
    <t>https://botland.store/dc-micro-motors-with-gearbox/5093-hpcb-motor-with-50-1-gear-doublesided-shaft-pololu-3073-5904422306359.html</t>
  </si>
  <si>
    <t>w/o encoder</t>
  </si>
  <si>
    <t>https://botland.store/encoders/8258-magnetic-encoder-pair-kit-for-20d-mm-metal-gearmotors-20-cpr-27-18v-pololu-3499-5904422375782.html</t>
  </si>
  <si>
    <t>part &amp; likelyhood of purchase</t>
  </si>
  <si>
    <t>price/pcs</t>
  </si>
  <si>
    <t>price</t>
  </si>
  <si>
    <t>JLCPCB avalibility</t>
  </si>
  <si>
    <t>JLCPCB price</t>
  </si>
  <si>
    <t>SLM6DSOX</t>
  </si>
  <si>
    <t>MODULINO MOVEMENT ARDUINO - Modul de extensie | cablu de conectare,modul; Comp: LSM6DSOX; ABX00101 | Transfer Multisort Elektronik România</t>
  </si>
  <si>
    <t>NUCELO-F411RE</t>
  </si>
  <si>
    <t>NUCLEO-F411RE STMicroelectronics - Kituri dezv: STM32 | Comp: STM32F411RET6; Conectori de extensie: 2 | Transfer Multisort Elektronik România</t>
  </si>
  <si>
    <t>TSAL6200</t>
  </si>
  <si>
    <t>TSAL6200 VISHAY - Emiţător IR | 5mm; 940nm; gri-albăstrui,transparent; 210mW; 17° | Transfer Multisort Elektronik România</t>
  </si>
  <si>
    <t xml:space="preserve">price 10 buc min </t>
  </si>
  <si>
    <t>TSAL6100</t>
  </si>
  <si>
    <t>TSAL6100 VISHAY - Emiţător IR | 5mm; 940nm; gri-albăstrui,transparent; 40mW; THT | Transfer Multisort Elektronik România</t>
  </si>
  <si>
    <t>SFH4544</t>
  </si>
  <si>
    <t>SFH 4544 ams OSRAM - Emiţător IR | 5mm; 950nm; neagră; 550mW; 10°; 1,6÷1,9VDC; THT; 100mA; SFH4544 | Transfer Multisort Elektronik România</t>
  </si>
  <si>
    <t>34 in stock only</t>
  </si>
  <si>
    <t>price 10 buc min</t>
  </si>
  <si>
    <t>VBPW34S</t>
  </si>
  <si>
    <t>VBPW34S VISHAY - Fotodiodă PIN | Gull wing; SMD; 940nm; 430÷1100nm; 130°; plat | Transfer Multisort Elektronik România</t>
  </si>
  <si>
    <t>BPV10NF</t>
  </si>
  <si>
    <t>BPV10NF VISHAY - Fotodiodă IR PIN | 5mm; THT; 940nm; 40° | Transfer Multisort Elektronik România</t>
  </si>
  <si>
    <t>TLV9062IDR</t>
  </si>
  <si>
    <t>TLV9062IDR TEXAS INSTRUMENTS - IC: amplificator operaţional | 10MHz; Ch: 2; 1,8÷5,5VDC; SO8; 2mV | Transfer Multisort Elektronik România</t>
  </si>
  <si>
    <t>AO3400A</t>
  </si>
  <si>
    <t>AO3400A ALPHA &amp; OMEGA SEMICONDUCTOR - Tranzistor: N-MOSFET | unipolar; 30V; 4,7A; 1,4W; SOT23 | Transfer Multisort Elektronik România</t>
  </si>
  <si>
    <t>price 50 buc min</t>
  </si>
  <si>
    <t>TCTR5000</t>
  </si>
  <si>
    <t>Motor</t>
  </si>
  <si>
    <t>DRV8833</t>
  </si>
  <si>
    <t>DRV8833 dual H-bridge 1.5A Arduino motor driver module</t>
  </si>
  <si>
    <t>turbine motor</t>
  </si>
  <si>
    <t>backup if photodiode is problematic</t>
  </si>
  <si>
    <t>8.00M-SMDHC49S YIC - Cristal | 8MHz; SMD; 20pF; ±30ppm; ±5ppm/an; 1mW; HC49SM; -20÷70°C | Transfer Multisort Elektronik România</t>
  </si>
  <si>
    <t>8Mhz quartz</t>
  </si>
  <si>
    <t>303A-753018-000 ATTEND - Conector: pogo pin | PIN: 1; SMT; Ø: 1,05mm; Hmin: 6,2mm; Hmax: 7,5mm | Transfer Multisort Elektronik România</t>
  </si>
  <si>
    <t>Pogo pins</t>
  </si>
  <si>
    <t>price 5 buc min</t>
  </si>
  <si>
    <t>AP62300Z6-7 DIODES INCORPORATED - PMIC | convertor DC/DC; Uintr: 4,2÷18VDC; Uieş: 0,8÷7VDC; 3A; SOT563 | Transfer Multisort Elektronik România</t>
  </si>
  <si>
    <t>AP62300Z6-7</t>
  </si>
  <si>
    <t>price 10 bun min</t>
  </si>
  <si>
    <t>NRS5030T3R3MMGJ TAIYO YUDEN - Inductor: fir | SMD; 3,3uH; 3A; R: 30mΩ; ±20%; NRS; 4,9x4,9mm | Transfer Multisort Elektronik România</t>
  </si>
  <si>
    <t>3.3uH inductor</t>
  </si>
  <si>
    <t>hand solder prob</t>
  </si>
  <si>
    <t>TLV75533PDBVR TEXAS INSTRUMENTS - IC: stabilizator de tensiune | LDO,liniar,nereglabil; 3,3V; 500mA | Transfer Multisort Elektronik România</t>
  </si>
  <si>
    <t>TLV75533PDBVR</t>
  </si>
  <si>
    <t>RF-W7SP30TS-A44 REFOND - LED | RGB; SMD; PLCC6; 1.8÷2.4/2.7÷3.4/2.7÷3.4VDC; 3.5x2.8x1.8mm | Transfer Multisort Elektronik Romania</t>
  </si>
  <si>
    <t>State led</t>
  </si>
  <si>
    <t>price 25 buc min</t>
  </si>
  <si>
    <t>Buton micro fara retinere 4x4x1.6mm, 4 pini metalic</t>
  </si>
  <si>
    <t>Button</t>
  </si>
  <si>
    <t>SS14</t>
  </si>
  <si>
    <t>BLE</t>
  </si>
  <si>
    <t>Modul Bluetooth HC-05 compatibil Arduino Master/Slave</t>
  </si>
  <si>
    <t>TCRT5000 2.5mm reflective optical sensor for line robots</t>
  </si>
  <si>
    <t>Dioda Schottky 1N5819 SMD SS14 40V 1A</t>
  </si>
  <si>
    <t>Motor mini coreless 20x8.5 ax 1mm 50000RPM 3.7V drone</t>
  </si>
  <si>
    <t>Motor DC mini N20 500RPM 6V cu reductor metalic</t>
  </si>
  <si>
    <t>no encoder, may be changed with 1000rpm HPCB variant from sigmanortec</t>
  </si>
  <si>
    <t>purchased?</t>
  </si>
  <si>
    <t>item #</t>
  </si>
  <si>
    <t>component</t>
  </si>
  <si>
    <t>manufacturer</t>
  </si>
  <si>
    <t>vendor</t>
  </si>
  <si>
    <t>Qty</t>
  </si>
  <si>
    <t>Unit price</t>
  </si>
  <si>
    <t>Total Price</t>
  </si>
  <si>
    <t>Notes</t>
  </si>
  <si>
    <t>Url</t>
  </si>
  <si>
    <t>NUCLEO-F411RE</t>
  </si>
  <si>
    <t>STMicroelectronics</t>
  </si>
  <si>
    <t>NUCLEO-F411RE STMicroelectronics | Embedded MCU, DSP Evaluation Boards | DigiKey</t>
  </si>
  <si>
    <t>Unit price no TVA</t>
  </si>
  <si>
    <t>STM32F411RET6</t>
  </si>
  <si>
    <t>STM32F411RET6 STMicroelectronics | Microcontrollers | DigiKey</t>
  </si>
  <si>
    <t>Y/N</t>
  </si>
  <si>
    <t>LSM6DSOXTR</t>
  </si>
  <si>
    <t>LSM6DSOXTR STMicroelectronics | IMUs (Inertial Measurement Units) | DigiKey</t>
  </si>
  <si>
    <t>LSM6DSOXTR test board</t>
  </si>
  <si>
    <t>4438 Adafruit Industries LLC | Expansion Boards, Daughter Cards | DigiKey</t>
  </si>
  <si>
    <t>min qty</t>
  </si>
  <si>
    <t>Vishay Semiconductor Opto Division</t>
  </si>
  <si>
    <t>TSAL6100 Vishay Semiconductor Opto Division | LED Emitters - Infrared, UV, Visible | DigiKey</t>
  </si>
  <si>
    <t>BPV10NF Vishay Semiconductor Opto Division | Photodiodes | DigiKey</t>
  </si>
  <si>
    <t>Texas Instruments</t>
  </si>
  <si>
    <t>TLV9062IDR Texas Instruments | Instrumentation, Op Amps, Buffer Amps | DigiKey</t>
  </si>
  <si>
    <t>UMW</t>
  </si>
  <si>
    <t>AO3400A UMW | Single FETs, MOSFETs | DigiKey</t>
  </si>
  <si>
    <t>ABLS-8.000MHZ-B4-T Abracon LLC | Crystals | DigiKey</t>
  </si>
  <si>
    <t>Diodes Incorporated</t>
  </si>
  <si>
    <t>AP62300Z6-7 Diodes Incorporated | Voltage Regulators - DC DC Switching Regulators | DigiKey</t>
  </si>
  <si>
    <t>NRS5040T3R3NMGJ Taiyo Yuden | Fixed Inductors | DigiKey</t>
  </si>
  <si>
    <t>TLV75533PDBVR Texas Instruments | Voltage Regulators - Linear, Low Drop Out (LDO) Regulators | DigiKey</t>
  </si>
  <si>
    <t>RGB LED</t>
  </si>
  <si>
    <t>CLMVC-FKA-CL1D1L71BB7C3C3 Cree LED | LED Indication - Discrete | DigiKey</t>
  </si>
  <si>
    <t>HC-05</t>
  </si>
  <si>
    <t>Sigmanortec</t>
  </si>
  <si>
    <t>HPCB 30:1 1000rpm</t>
  </si>
  <si>
    <t>Motor DC Micro Metal N20 6V HPCB perii carbon 30:1</t>
  </si>
  <si>
    <t>coreless motor</t>
  </si>
  <si>
    <t>TB6612FNG</t>
  </si>
  <si>
    <t>Toshiba Semiconductor and Storage</t>
  </si>
  <si>
    <t>TB6612FNG,C,8,EL Toshiba Semiconductor and Storage | Motor Drivers, Controllers | DigiKey</t>
  </si>
  <si>
    <t>In stock</t>
  </si>
  <si>
    <t>TEFT4300</t>
  </si>
  <si>
    <t>TEFT4300 Vishay Semiconductor Opto Division | Phototransistors | DigiKey</t>
  </si>
  <si>
    <t>magnet</t>
  </si>
  <si>
    <t>LCSC</t>
  </si>
  <si>
    <t>Alt Url</t>
  </si>
  <si>
    <t>STM32F411RET6 | Microcontrollers | ST | LCSC</t>
  </si>
  <si>
    <t>LSM6DSOXTR | IMUs (Inertial Measurement Units) | ST | LCSC</t>
  </si>
  <si>
    <t>TSAL6100 | LED Emitters - Infrared, UV, Visible | VISHAY | LCSC</t>
  </si>
  <si>
    <t>BPV10NF | Photodiodes | VISHAY | LCSC</t>
  </si>
  <si>
    <t>TLV9062IDR | Instrumentation, Op Amps, Buffer Amps | TI | LCSC</t>
  </si>
  <si>
    <t>AO3400A | Single FETs, MOSFETs | AOS | LCSC</t>
  </si>
  <si>
    <t>AP62300Z6-7 | Voltage Regulators - DC DC Switching Regulators | DIODES | LCSC</t>
  </si>
  <si>
    <t>TLV75533PDBVR | Voltage Regulators - Linear, Low Drop Out (LDO) Regulators | TI | LCSC</t>
  </si>
  <si>
    <t>TB6612FNG,C,8,EL | Motor Drivers, Controllers | TOSHIBA | LCSC</t>
  </si>
  <si>
    <t>TEFT4300 | Phototransistors | VISHAY | LCSC</t>
  </si>
  <si>
    <t>NOVOSENSE MT6701CT-ACD</t>
  </si>
  <si>
    <t>NOVOSENSE</t>
  </si>
  <si>
    <t>MT6701CT-ACD | Angle, Linear Position Measuring | NOVOSENSE | LCSC</t>
  </si>
  <si>
    <t>TVS encoder</t>
  </si>
  <si>
    <t>TECH PUBLIC</t>
  </si>
  <si>
    <t>PESD3V3U1UL | TVS Diodes | TECH PUBLIC | LCSC</t>
  </si>
  <si>
    <t>DecoHobbyArt, or any other generic magnets</t>
  </si>
  <si>
    <t>TME</t>
  </si>
  <si>
    <t>Arduino</t>
  </si>
  <si>
    <t>8.00M-SMDHC49S</t>
  </si>
  <si>
    <t>YIC</t>
  </si>
  <si>
    <t>REFOND</t>
  </si>
  <si>
    <t>RF-W7SP30TS-A44 REFOND - LED | RGB; SMD; PLCC6; 1,8÷2,4/2,7÷3,4/2,7÷3,4VDC; 3,5x2,8x1,8mm | Transfer Multisort Elektronik România</t>
  </si>
  <si>
    <t>APV APH0420T3R3M</t>
  </si>
  <si>
    <t>APV</t>
  </si>
  <si>
    <t>APH0420T3R3M | Fixed Inductors | APV | LCSC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</si>
</sst>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11">
    <xf numFmtId="0" fontId="0" fillId="0" borderId="0" xfId="0"/>
    <xf numFmtId="0" fontId="1" fillId="0" borderId="0" xfId="1"/>
    <xf numFmtId="0" fontId="0" fillId="0" borderId="0" xfId="0" applyAlignment="1">
      <alignment horizontal="center" vertical="center"/>
    </xf>
    <xf numFmtId="0" fontId="2" fillId="2" borderId="0" xfId="2"/>
    <xf numFmtId="0" fontId="4" fillId="4" borderId="0" xfId="4"/>
    <xf numFmtId="0" fontId="3" fillId="3" borderId="0" xfId="3"/>
    <xf numFmtId="0" fontId="2" fillId="2" borderId="0" xfId="2" applyAlignment="1">
      <alignment horizontal="left" vertical="center"/>
    </xf>
    <xf numFmtId="0" fontId="5" fillId="0" borderId="0" xfId="0" applyFont="1"/>
    <xf numFmtId="2" fontId="0" fillId="0" borderId="0" xfId="0" applyNumberFormat="1"/>
    <xf numFmtId="2" fontId="6" fillId="0" borderId="0" xfId="0" applyNumberFormat="1" applyFont="1"/>
    <xf numFmtId="0" fontId="0" fillId="0" borderId="0" xfId="0" applyAlignment="1">
      <alignment horizontal="center" vertical="center"/>
    </xf>
  </cellXfs>
  <cellStyles count="5">
    <cellStyle name="Bad" xfId="3" builtinId="27"/>
    <cellStyle name="Good" xfId="2" builtinId="26"/>
    <cellStyle name="Hyperlink" xfId="1" builtinId="8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F854A4-5F3D-4236-9B97-F4C57F0E67B7}" name="Table1" displayName="Table1" ref="A1:N24" totalsRowShown="0" headerRowCellStyle="Normal" dataCellStyle="Normal">
  <autoFilter ref="A1:N24" xr:uid="{CCF854A4-5F3D-4236-9B97-F4C57F0E67B7}"/>
  <sortState xmlns:xlrd2="http://schemas.microsoft.com/office/spreadsheetml/2017/richdata2" ref="A2:N24">
    <sortCondition descending="1" ref="D1:D24"/>
  </sortState>
  <tableColumns count="14">
    <tableColumn id="1" xr3:uid="{3BAFC386-768D-4085-9683-4C5F83269D40}" name="item #" dataCellStyle="Normal"/>
    <tableColumn id="2" xr3:uid="{F7EA358A-DD8B-4415-ADAB-BBBEC1FF42BA}" name="component" dataCellStyle="Normal"/>
    <tableColumn id="3" xr3:uid="{0544399C-071C-44D6-8BC1-888FBC17FDD4}" name="manufacturer" dataCellStyle="Normal"/>
    <tableColumn id="4" xr3:uid="{30D2C60D-D91B-4DE6-A9AF-FBDBE36E14A8}" name="vendor" dataCellStyle="Normal"/>
    <tableColumn id="5" xr3:uid="{D9BE7E89-97EC-43E3-8BC6-808925E18986}" name="Qty" dataCellStyle="Normal"/>
    <tableColumn id="6" xr3:uid="{A1B678F3-0C17-4EDD-A44E-AECC0CEA05CC}" name="Unit price no TVA" dataCellStyle="Normal"/>
    <tableColumn id="7" xr3:uid="{6C2D16F5-8A81-4EF8-8FB9-C02A14842663}" name="Unit price" dataCellStyle="Normal"/>
    <tableColumn id="8" xr3:uid="{7ACFFF4E-2C25-4A91-B75F-3778777361A0}" name="Total Price" dataCellStyle="Normal">
      <calculatedColumnFormula>G2*E2</calculatedColumnFormula>
    </tableColumn>
    <tableColumn id="9" xr3:uid="{35492429-3D13-4B3B-BBF6-3C38F178A46A}" name="Y/N" dataCellStyle="Normal"/>
    <tableColumn id="10" xr3:uid="{3E858888-9A7F-4C42-92F6-E69F4B50C8B3}" name="min qty" dataCellStyle="Normal"/>
    <tableColumn id="11" xr3:uid="{C2D734FC-EC2D-4770-8EF2-EBE342BA3668}" name="Notes" dataCellStyle="Normal"/>
    <tableColumn id="12" xr3:uid="{2DAAC716-DC6A-4953-B78E-C94E28C94402}" name="In stock" dataCellStyle="Normal"/>
    <tableColumn id="13" xr3:uid="{876DBD75-B09B-4F14-93C4-89C98639FF9E}" name="Url" dataCellStyle="Normal"/>
    <tableColumn id="14" xr3:uid="{44913979-7F24-4992-BF5D-284442FA5BD2}" name="Alt Url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ro/en/products/detail/texas-instruments/TLV9062IDR/7364940?s=N4IgTCBcDaICoBkBqBOADANjASQCICUQBdAXyA" TargetMode="External"/><Relationship Id="rId18" Type="http://schemas.openxmlformats.org/officeDocument/2006/relationships/hyperlink" Target="https://www.digikey.ro/en/products/detail/stmicroelectronics/STM32F411RET6/4935722" TargetMode="External"/><Relationship Id="rId26" Type="http://schemas.openxmlformats.org/officeDocument/2006/relationships/hyperlink" Target="https://www.lcsc.com/product-detail/C20917.html?s_z=n_q_AO3400A&amp;spm=wm.fly.bg.0.xh&amp;lcsc_vid=FQBfBVRVQAUPVVdQFlIPBFJeQQcNVF1XRQINUgFWFVAxVlNeQVVbU1RSQVNeUDsOAxUeFF5JWBYZEEoKFBINSQcJGk4dAgUUFAk%3D" TargetMode="External"/><Relationship Id="rId21" Type="http://schemas.openxmlformats.org/officeDocument/2006/relationships/hyperlink" Target="https://www.lcsc.com/product-detail/C94355.html?s_z=n_q_STM32F411RET6&amp;spm=wm.fly.bg.0.xh&amp;lcsc_vid=FQBfBVRVQAUPVVdQFlIPBFJeQQcNVF1XRQINUgFWFVAxVlNeQVVbVFJTT1ZZUDsOAxUeFF5JWBYZEEoKFBINSQcJGk4NBhADEA4cHkteQ1lADxALGw%3D%3D" TargetMode="External"/><Relationship Id="rId34" Type="http://schemas.openxmlformats.org/officeDocument/2006/relationships/hyperlink" Target="https://www.tme.eu/ro/details/abx00101/solutii-arduino/arduino/modulino-movement/" TargetMode="External"/><Relationship Id="rId7" Type="http://schemas.openxmlformats.org/officeDocument/2006/relationships/hyperlink" Target="https://www.digikey.ro/en/products/detail/cree-led/CLMVC-FKA-CL1D1L71BB7C3C3/4794065" TargetMode="External"/><Relationship Id="rId12" Type="http://schemas.openxmlformats.org/officeDocument/2006/relationships/hyperlink" Target="https://www.digikey.ro/en/products/detail/umw/AO3400A/16705910" TargetMode="External"/><Relationship Id="rId17" Type="http://schemas.openxmlformats.org/officeDocument/2006/relationships/hyperlink" Target="https://www.digikey.ro/en/products/detail/stmicroelectronics/LSM6DSOXTR/9841882?s=N4IgTCBcDaIDIGUCyA2AIgg8gDRAXQF8g" TargetMode="External"/><Relationship Id="rId25" Type="http://schemas.openxmlformats.org/officeDocument/2006/relationships/hyperlink" Target="https://www.lcsc.com/product-detail/C398355.html?s_z=n_q_x_TLV9062IDR&amp;spm=wm.ssy.em.0.tz&amp;lcsc_vid=FQBfBVRVQAUPVVdQFlIPBFJeQQcNVF1XRQINUgFWFVAxVlNeQVVbVF1RRVZYVjsOAxUeFF5JWBYZEEoKFBINSQcJGk4NBhADEA4cHktXRVddSQwSGg0%3D" TargetMode="External"/><Relationship Id="rId33" Type="http://schemas.openxmlformats.org/officeDocument/2006/relationships/hyperlink" Target="https://www.tme.eu/ro/details/nucleo-f411re/kituri-de-dezvoltare-stm/stmicroelectronics/" TargetMode="External"/><Relationship Id="rId38" Type="http://schemas.openxmlformats.org/officeDocument/2006/relationships/table" Target="../tables/table1.xml"/><Relationship Id="rId2" Type="http://schemas.openxmlformats.org/officeDocument/2006/relationships/hyperlink" Target="https://sigmanortec.ro/Motor-mini-coreless-20x8-5-ax-1mm-50000RPM-p209682505" TargetMode="External"/><Relationship Id="rId16" Type="http://schemas.openxmlformats.org/officeDocument/2006/relationships/hyperlink" Target="https://www.digikey.ro/en/products/detail/adafruit-industries-llc/4438/11497501" TargetMode="External"/><Relationship Id="rId20" Type="http://schemas.openxmlformats.org/officeDocument/2006/relationships/hyperlink" Target="https://www.digikey.ro/en/products/detail/vishay-semiconductor-opto-division/TEFT4300/1681175" TargetMode="External"/><Relationship Id="rId29" Type="http://schemas.openxmlformats.org/officeDocument/2006/relationships/hyperlink" Target="https://www.lcsc.com/product-detail/C141517.html?s_z=n_q_TB6612FNG&amp;spm=wm.fly.bg.0.xh&amp;lcsc_vid=FQBfBVRVQAUPVVdQFlIPBFJeQQcNVF1XRQINUgFWFVAxVlNeQVVbU1dQTlBeXjsOAxUeFF5JWBYZEEoKFBINSQcJGk4NBhADEA4cHktXRVZeSQwSGg0%3D" TargetMode="External"/><Relationship Id="rId1" Type="http://schemas.openxmlformats.org/officeDocument/2006/relationships/hyperlink" Target="https://www.digikey.ro/en/products/detail/toshiba-semiconductor-and-storage/TB6612FNG-C-8-EL/1730070?s=N4IgTCBcDaICoCEBsSCMYBiA5A4iAugL5A" TargetMode="External"/><Relationship Id="rId6" Type="http://schemas.openxmlformats.org/officeDocument/2006/relationships/hyperlink" Target="https://sigmanortec.ro/Modul-Bluetooth-HC-05-p141736971" TargetMode="External"/><Relationship Id="rId11" Type="http://schemas.openxmlformats.org/officeDocument/2006/relationships/hyperlink" Target="https://www.digikey.ro/en/products/detail/abracon-llc/ABLS-8-000MHZ-B4-T/2184155" TargetMode="External"/><Relationship Id="rId24" Type="http://schemas.openxmlformats.org/officeDocument/2006/relationships/hyperlink" Target="https://www.lcsc.com/product-detail/C118288.html?s_z=n_q_BPV10NF&amp;spm=wm.fly.bg.0.xh&amp;lcsc_vid=FQBfBVRVQAUPVVdQFlIPBFJeQQcNVF1XRQINUgFWFVAxVlNeQVVbVFxfRFNaVjsOAxUeFF5JWBYZEEoKFBINSQcJGk4NBhADEA4cHktSRlBADxALGw%3D%3D" TargetMode="External"/><Relationship Id="rId32" Type="http://schemas.openxmlformats.org/officeDocument/2006/relationships/hyperlink" Target="https://www.lcsc.com/product-detail/C19829543.html?s_z=n_q_ESD3V3U1U&amp;spm=wm.fly.bg.1.xh&amp;lcsc_vid=FQBfBVRVQAUPVVdQFlIPBFJeQQcNVF1XRQINUgFWFVAxVlNeQVVYUV1TT1heVTsOAxUeFF5JWBYZEEoKFBINSQcJGk4NBhADEA4cHktRR1NADxALGw%3D%3D" TargetMode="External"/><Relationship Id="rId37" Type="http://schemas.openxmlformats.org/officeDocument/2006/relationships/hyperlink" Target="https://www.lcsc.com/product-detail/C5349667.html?s_z=n_q_t_3.3uH&amp;spm=wm.fly.bg.7.xh___wm.ssy.tc.0.tz&amp;lcsc_vid=FQBfBVRVQAUPVVdQFlIPBFJeQQcNVF1XRQINUgFWFVAxVlNeQVRbUF1QRFBcVjsOAxUeFF5JWBYZEEoKFBINSQcJGk4eFQsCAgIaSgADAwAHC0slRVNcXlBQWQkaCgg%3D" TargetMode="External"/><Relationship Id="rId5" Type="http://schemas.openxmlformats.org/officeDocument/2006/relationships/hyperlink" Target="https://sigmanortec.ro/Dioda-Schottky-1N5819-SMD-SS14-40V-p128704286" TargetMode="External"/><Relationship Id="rId15" Type="http://schemas.openxmlformats.org/officeDocument/2006/relationships/hyperlink" Target="https://www.digikey.ro/en/products/detail/vishay-semiconductor-opto-division/TSAL6100/1681338" TargetMode="External"/><Relationship Id="rId23" Type="http://schemas.openxmlformats.org/officeDocument/2006/relationships/hyperlink" Target="https://www.lcsc.com/product-detail/C111836.html?s_z=n_q_TSAL6100&amp;spm=wm.fly.bg.0.xh&amp;lcsc_vid=FQBfBVRVQAUPVVdQFlIPBFJeQQcNVF1XRQINUgFWFVAxVlNeQVVbVFxSR1NYXzsOAxUeFF5JWBYZEEoKFBINSQcJGk4NBhADEA4cHktXRVRfSQwSGg0%3D" TargetMode="External"/><Relationship Id="rId28" Type="http://schemas.openxmlformats.org/officeDocument/2006/relationships/hyperlink" Target="https://www.lcsc.com/product-detail/C404027.html?s_z=n_q_TLV75533PDBVR&amp;spm=wm.fly.bg.0.xh&amp;lcsc_vid=FQBfBVRVQAUPVVdQFlIPBFJeQQcNVF1XRQINUgFWFVAxVlNeQVVbU1dWQVRcUjsOAxUeFF5JWBYZEEoKFBINSQcJGk4dAgUUFAk%3D" TargetMode="External"/><Relationship Id="rId36" Type="http://schemas.openxmlformats.org/officeDocument/2006/relationships/hyperlink" Target="https://www.tme.eu/ro/details/rf-w7sp30ts-a44/diode-led-smd-colorate/refond/" TargetMode="External"/><Relationship Id="rId10" Type="http://schemas.openxmlformats.org/officeDocument/2006/relationships/hyperlink" Target="https://www.digikey.ro/en/products/detail/diodes-incorporated/AP62300Z6-7/16547279?s=N4IgTCBcDaIIIAUBsYDMAGdAtJBaA7CALoC%2BQA" TargetMode="External"/><Relationship Id="rId19" Type="http://schemas.openxmlformats.org/officeDocument/2006/relationships/hyperlink" Target="https://www.digikey.ro/en/products/detail/stmicroelectronics/NUCLEO-F411RE/4866485?s=N4IgTCBcDaIHIFUDCAZAogeQLQDEAsAjAQEpogC6AvkA" TargetMode="External"/><Relationship Id="rId31" Type="http://schemas.openxmlformats.org/officeDocument/2006/relationships/hyperlink" Target="https://www.lcsc.com/product-detail/C50203010.html?s_z=n_q_MT6701CT-ACD&amp;spm=wm.fly.bg.0.xh&amp;lcsc_vid=FQBfBVRVQAUPVVdQFlIPBFJeQQcNVF1XRQINUgFWFVAxVlNeQVVYUlJVT1JXVzsOAxUeFF5JWBYZEEoKFBINSQcJGk4eFQsCAgIaSgADAwAHC0slRFFeVFVfQU8GEwkK" TargetMode="External"/><Relationship Id="rId4" Type="http://schemas.openxmlformats.org/officeDocument/2006/relationships/hyperlink" Target="https://sigmanortec.ro/Buton-micro-fara-retinere-1-6mm-p125704779" TargetMode="External"/><Relationship Id="rId9" Type="http://schemas.openxmlformats.org/officeDocument/2006/relationships/hyperlink" Target="https://www.digikey.ro/en/products/detail/taiyo-yuden/NRS5040T3R3NMGJ/4970846" TargetMode="External"/><Relationship Id="rId14" Type="http://schemas.openxmlformats.org/officeDocument/2006/relationships/hyperlink" Target="https://www.digikey.ro/en/products/detail/vishay-semiconductor-opto-division/BPV10NF/1681136?s=N4IgTCBcDaIEIAUBqBGADAOQGIgLoF8g" TargetMode="External"/><Relationship Id="rId22" Type="http://schemas.openxmlformats.org/officeDocument/2006/relationships/hyperlink" Target="https://www.lcsc.com/product-detail/C481766.html?s_z=n_q_LSM6DSOXTR&amp;spm=wm.fly.bg.0.xh&amp;lcsc_vid=FQBfBVRVQAUPVVdQFlIPBFJeQQcNVF1XRQINUgFWFVAxVlNeQVVbVFNTRlJcVDsOAxUeFF5JWBYZEEoKFBINSQcJGk4NBhADEA4cHktfQ1BADxALGw%3D%3D" TargetMode="External"/><Relationship Id="rId27" Type="http://schemas.openxmlformats.org/officeDocument/2006/relationships/hyperlink" Target="https://www.lcsc.com/product-detail/C5250745.html?s_z=n_q_AP62300Z6-7&amp;spm=wm.fly.bg.0.xh&amp;lcsc_vid=FQBfBVRVQAUPVVdQFlIPBFJeQQcNVF1XRQINUgFWFVAxVlNeQVVbU1VTQ1lXVjsOAxUeFF5JWBYZEEoKFBINSQcJGk4NBhADEA4cHktXRlRbSQwSGg0%3D" TargetMode="External"/><Relationship Id="rId30" Type="http://schemas.openxmlformats.org/officeDocument/2006/relationships/hyperlink" Target="https://www.lcsc.com/product-detail/C118301.html?s_z=n_q_TEFT4300&amp;spm=wm.fly.bg.0.xh&amp;lcsc_vid=FQBfBVRVQAUPVVdQFlIPBFJeQQcNVF1XRQINUgFWFVAxVlNeQVVbU1BTRFJYUzsOAxUeFF5JWBYZEEoKFBINSQcJGk4NBhADEA4cHktXQ1VfSQwSGg0%3D" TargetMode="External"/><Relationship Id="rId35" Type="http://schemas.openxmlformats.org/officeDocument/2006/relationships/hyperlink" Target="https://www.tme.eu/ro/details/8.00m-smdhc49s/resonators-and-generators/yic/" TargetMode="External"/><Relationship Id="rId8" Type="http://schemas.openxmlformats.org/officeDocument/2006/relationships/hyperlink" Target="https://www.digikey.ro/en/products/detail/texas-instruments/TLV75533PDBVR/9356541?s=N4IgTCBcDaICoBkBqB2ArGgzJgCgEQCEkAlEAXQF8g" TargetMode="External"/><Relationship Id="rId3" Type="http://schemas.openxmlformats.org/officeDocument/2006/relationships/hyperlink" Target="https://sigmanortec.ro/Motor-DC-Micro-Metal-6V-HPCB-Perii-Carbon-30-1-p200733572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me.eu/ro/details/tlv9062idr/amplificatori-operationali-smd/texas-instruments/" TargetMode="External"/><Relationship Id="rId13" Type="http://schemas.openxmlformats.org/officeDocument/2006/relationships/hyperlink" Target="https://www.tme.eu/ro/details/ap62300z6-7/regulatoare-de-tensiune-circuite-dc-dc/diodes-incorporated/" TargetMode="External"/><Relationship Id="rId18" Type="http://schemas.openxmlformats.org/officeDocument/2006/relationships/hyperlink" Target="https://sigmanortec.ro/Modul-Bluetooth-HC-05-p141736971" TargetMode="External"/><Relationship Id="rId3" Type="http://schemas.openxmlformats.org/officeDocument/2006/relationships/hyperlink" Target="https://www.tme.eu/ro/details/tsal6200/diode-led-ir/vishay/" TargetMode="External"/><Relationship Id="rId21" Type="http://schemas.openxmlformats.org/officeDocument/2006/relationships/hyperlink" Target="https://sigmanortec.ro/Motor-mini-coreless-20x8-5-ax-1mm-50000RPM-p209682505" TargetMode="External"/><Relationship Id="rId7" Type="http://schemas.openxmlformats.org/officeDocument/2006/relationships/hyperlink" Target="https://www.tme.eu/ro/details/bpv10nf/fotodiode/vishay/" TargetMode="External"/><Relationship Id="rId12" Type="http://schemas.openxmlformats.org/officeDocument/2006/relationships/hyperlink" Target="https://www.tme.eu/ro/details/303a-753018-000/alti-conectori/attend/" TargetMode="External"/><Relationship Id="rId17" Type="http://schemas.openxmlformats.org/officeDocument/2006/relationships/hyperlink" Target="https://sigmanortec.ro/Buton-micro-fara-retinere-1-6mm-p125704779" TargetMode="External"/><Relationship Id="rId2" Type="http://schemas.openxmlformats.org/officeDocument/2006/relationships/hyperlink" Target="https://www.tme.eu/ro/details/nucleo-f411re/kituri-de-dezvoltare-stm/stmicroelectronics/" TargetMode="External"/><Relationship Id="rId16" Type="http://schemas.openxmlformats.org/officeDocument/2006/relationships/hyperlink" Target="https://www.tme.eu/ro/en/details/rf-w7sp30ts-a44/smd-colour-leds/refond/" TargetMode="External"/><Relationship Id="rId20" Type="http://schemas.openxmlformats.org/officeDocument/2006/relationships/hyperlink" Target="https://sigmanortec.ro/Dioda-Schottky-1N5819-SMD-SS14-40V-p128704286" TargetMode="External"/><Relationship Id="rId1" Type="http://schemas.openxmlformats.org/officeDocument/2006/relationships/hyperlink" Target="https://www.tme.eu/ro/details/abx00101/solutii-arduino/arduino/modulino-movement/" TargetMode="External"/><Relationship Id="rId6" Type="http://schemas.openxmlformats.org/officeDocument/2006/relationships/hyperlink" Target="https://www.tme.eu/ro/details/vbpw34s/fotodiode/vishay/" TargetMode="External"/><Relationship Id="rId11" Type="http://schemas.openxmlformats.org/officeDocument/2006/relationships/hyperlink" Target="https://www.tme.eu/ro/details/8.00m-smdhc49s/resonators-and-generators/yic/" TargetMode="External"/><Relationship Id="rId5" Type="http://schemas.openxmlformats.org/officeDocument/2006/relationships/hyperlink" Target="https://www.tme.eu/ro/details/sfh4544/diode-led-ir/ams-osram/sfh-4544/" TargetMode="External"/><Relationship Id="rId15" Type="http://schemas.openxmlformats.org/officeDocument/2006/relationships/hyperlink" Target="https://www.tme.eu/ro/details/tlv75533pdbvr/regulatoare-de-tensiune-neregulata-ldo/texas-instruments/" TargetMode="External"/><Relationship Id="rId10" Type="http://schemas.openxmlformats.org/officeDocument/2006/relationships/hyperlink" Target="https://sigmanortec.ro/en/motor-driver-module-dual-h-bridge-drv8833-15a" TargetMode="External"/><Relationship Id="rId19" Type="http://schemas.openxmlformats.org/officeDocument/2006/relationships/hyperlink" Target="https://sigmanortec.ro/en/tcrt5000-optical-sensor-reflective" TargetMode="External"/><Relationship Id="rId4" Type="http://schemas.openxmlformats.org/officeDocument/2006/relationships/hyperlink" Target="https://www.tme.eu/ro/details/tsal6100/diode-led-ir/vishay/" TargetMode="External"/><Relationship Id="rId9" Type="http://schemas.openxmlformats.org/officeDocument/2006/relationships/hyperlink" Target="https://www.tme.eu/ro/details/ao3400a/tranzistori-canal-n-smd/alpha-omega-semiconductor/" TargetMode="External"/><Relationship Id="rId14" Type="http://schemas.openxmlformats.org/officeDocument/2006/relationships/hyperlink" Target="https://www.tme.eu/ro/details/nrs5030t3r3mmgj/inductoare/taiyo-yuden/" TargetMode="External"/><Relationship Id="rId22" Type="http://schemas.openxmlformats.org/officeDocument/2006/relationships/hyperlink" Target="https://sigmanortec.ro/Motor-DC-mini-angrenaje-metal-N20-500RPM-p211611036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botland.store/dc-micro-motors-with-gearbox/5093-hpcb-motor-with-50-1-gear-doublesided-shaft-pololu-3073-5904422306359.html" TargetMode="External"/><Relationship Id="rId3" Type="http://schemas.openxmlformats.org/officeDocument/2006/relationships/hyperlink" Target="https://www.tme.eu/ro/details/nucleo-f411re/kituri-de-dezvoltare-stm/stmicroelectronics/" TargetMode="External"/><Relationship Id="rId7" Type="http://schemas.openxmlformats.org/officeDocument/2006/relationships/hyperlink" Target="https://www.dfrobot.com/product-1431.html" TargetMode="External"/><Relationship Id="rId2" Type="http://schemas.openxmlformats.org/officeDocument/2006/relationships/hyperlink" Target="https://www.digikey.com/en/products/detail/stmicroelectronics/NUCLEO-F411RE/4866485?s=N4IgTCBcDaIHIFUDCAZAogeQLQDEAsAjAQEpogC6AvkA" TargetMode="External"/><Relationship Id="rId1" Type="http://schemas.openxmlformats.org/officeDocument/2006/relationships/hyperlink" Target="https://www.digikey.com/en/products/detail/stmicroelectronics/STM32F411RET6/4935722" TargetMode="External"/><Relationship Id="rId6" Type="http://schemas.openxmlformats.org/officeDocument/2006/relationships/hyperlink" Target="https://robomaniacs.ro/product/micromotor-cu-angrenaj-core-6v/" TargetMode="External"/><Relationship Id="rId5" Type="http://schemas.openxmlformats.org/officeDocument/2006/relationships/hyperlink" Target="https://www.pololu.com/product/5187" TargetMode="External"/><Relationship Id="rId4" Type="http://schemas.openxmlformats.org/officeDocument/2006/relationships/hyperlink" Target="https://www.tme.eu/ro/details/stm32f411ret6/microcontrolere-st/stmicroelectronics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CD33E-ED3C-471B-A497-FF1EF1DE279B}">
  <dimension ref="A1:O28"/>
  <sheetViews>
    <sheetView tabSelected="1" zoomScale="110" zoomScaleNormal="110" workbookViewId="0">
      <selection activeCell="M23" sqref="M23"/>
    </sheetView>
  </sheetViews>
  <sheetFormatPr defaultRowHeight="15"/>
  <cols>
    <col min="1" max="1" width="8.7109375" customWidth="1"/>
    <col min="2" max="2" width="26.28515625" bestFit="1" customWidth="1"/>
    <col min="3" max="3" width="33.85546875" bestFit="1" customWidth="1"/>
    <col min="4" max="4" width="12" bestFit="1" customWidth="1"/>
    <col min="5" max="5" width="6.28515625" customWidth="1"/>
    <col min="6" max="6" width="18.5703125" customWidth="1"/>
    <col min="7" max="7" width="11.85546875" customWidth="1"/>
    <col min="8" max="8" width="12.42578125" customWidth="1"/>
    <col min="9" max="9" width="6.5703125" customWidth="1"/>
    <col min="10" max="10" width="9.85546875" customWidth="1"/>
    <col min="11" max="11" width="8.42578125" customWidth="1"/>
    <col min="12" max="12" width="9.85546875" customWidth="1"/>
    <col min="13" max="13" width="133.7109375" bestFit="1" customWidth="1"/>
    <col min="14" max="14" width="97.140625" bestFit="1" customWidth="1"/>
    <col min="15" max="15" width="11.85546875" bestFit="1" customWidth="1"/>
  </cols>
  <sheetData>
    <row r="1" spans="1:15">
      <c r="A1" t="s">
        <v>86</v>
      </c>
      <c r="B1" t="s">
        <v>87</v>
      </c>
      <c r="C1" t="s">
        <v>88</v>
      </c>
      <c r="D1" t="s">
        <v>89</v>
      </c>
      <c r="E1" t="s">
        <v>90</v>
      </c>
      <c r="F1" t="s">
        <v>98</v>
      </c>
      <c r="G1" t="s">
        <v>91</v>
      </c>
      <c r="H1" t="s">
        <v>92</v>
      </c>
      <c r="I1" t="s">
        <v>101</v>
      </c>
      <c r="J1" t="s">
        <v>106</v>
      </c>
      <c r="K1" t="s">
        <v>93</v>
      </c>
      <c r="L1" t="s">
        <v>129</v>
      </c>
      <c r="M1" t="s">
        <v>94</v>
      </c>
      <c r="N1" t="s">
        <v>134</v>
      </c>
    </row>
    <row r="2" spans="1:15">
      <c r="A2">
        <v>1</v>
      </c>
      <c r="B2" t="s">
        <v>95</v>
      </c>
      <c r="C2" t="s">
        <v>96</v>
      </c>
      <c r="D2" t="s">
        <v>152</v>
      </c>
      <c r="E2">
        <v>1</v>
      </c>
      <c r="F2">
        <v>104.31</v>
      </c>
      <c r="G2">
        <v>104.31</v>
      </c>
      <c r="H2">
        <f t="shared" ref="H2:H24" si="0">G2*E2</f>
        <v>104.31</v>
      </c>
      <c r="I2">
        <v>1</v>
      </c>
      <c r="J2">
        <v>1</v>
      </c>
      <c r="L2">
        <v>0</v>
      </c>
      <c r="M2" t="s">
        <v>34</v>
      </c>
      <c r="N2" t="s">
        <v>97</v>
      </c>
      <c r="O2" s="9"/>
    </row>
    <row r="3" spans="1:15">
      <c r="A3">
        <v>2</v>
      </c>
      <c r="B3" t="s">
        <v>104</v>
      </c>
      <c r="C3" t="s">
        <v>153</v>
      </c>
      <c r="D3" t="s">
        <v>152</v>
      </c>
      <c r="E3">
        <v>1</v>
      </c>
      <c r="F3">
        <v>73.540000000000006</v>
      </c>
      <c r="G3">
        <v>73.540000000000006</v>
      </c>
      <c r="H3">
        <f t="shared" si="0"/>
        <v>73.540000000000006</v>
      </c>
      <c r="I3">
        <v>1</v>
      </c>
      <c r="J3">
        <v>1</v>
      </c>
      <c r="L3">
        <v>0</v>
      </c>
      <c r="M3" t="s">
        <v>32</v>
      </c>
      <c r="N3" t="s">
        <v>105</v>
      </c>
    </row>
    <row r="4" spans="1:15">
      <c r="A4">
        <v>3</v>
      </c>
      <c r="B4" t="s">
        <v>154</v>
      </c>
      <c r="C4" t="s">
        <v>155</v>
      </c>
      <c r="D4" t="s">
        <v>152</v>
      </c>
      <c r="E4">
        <v>10</v>
      </c>
      <c r="F4">
        <v>1.44</v>
      </c>
      <c r="G4">
        <v>1.44</v>
      </c>
      <c r="H4">
        <f t="shared" si="0"/>
        <v>14.399999999999999</v>
      </c>
      <c r="I4">
        <v>1</v>
      </c>
      <c r="J4">
        <v>10</v>
      </c>
      <c r="L4">
        <v>0</v>
      </c>
      <c r="M4" t="s">
        <v>59</v>
      </c>
      <c r="N4" t="s">
        <v>114</v>
      </c>
    </row>
    <row r="5" spans="1:15">
      <c r="A5">
        <v>4</v>
      </c>
      <c r="B5" t="s">
        <v>119</v>
      </c>
      <c r="C5" t="s">
        <v>156</v>
      </c>
      <c r="D5" t="s">
        <v>152</v>
      </c>
      <c r="E5">
        <v>5</v>
      </c>
      <c r="F5">
        <v>0.82</v>
      </c>
      <c r="G5">
        <v>0.82</v>
      </c>
      <c r="H5">
        <f t="shared" si="0"/>
        <v>4.0999999999999996</v>
      </c>
      <c r="I5">
        <v>1</v>
      </c>
      <c r="J5">
        <v>5</v>
      </c>
      <c r="L5">
        <v>0</v>
      </c>
      <c r="M5" t="s">
        <v>157</v>
      </c>
      <c r="N5" t="s">
        <v>120</v>
      </c>
      <c r="O5" s="8"/>
    </row>
    <row r="6" spans="1:15">
      <c r="A6">
        <v>18</v>
      </c>
      <c r="B6" t="s">
        <v>121</v>
      </c>
      <c r="D6" t="s">
        <v>122</v>
      </c>
      <c r="E6">
        <v>1</v>
      </c>
      <c r="G6">
        <v>27.04</v>
      </c>
      <c r="H6">
        <f t="shared" si="0"/>
        <v>27.04</v>
      </c>
      <c r="I6">
        <v>1</v>
      </c>
      <c r="J6">
        <v>1</v>
      </c>
      <c r="L6">
        <v>1</v>
      </c>
      <c r="M6" t="s">
        <v>79</v>
      </c>
    </row>
    <row r="7" spans="1:15">
      <c r="A7">
        <v>19</v>
      </c>
      <c r="B7" t="s">
        <v>77</v>
      </c>
      <c r="D7" t="s">
        <v>122</v>
      </c>
      <c r="E7">
        <v>10</v>
      </c>
      <c r="G7">
        <v>0.3</v>
      </c>
      <c r="H7">
        <f t="shared" si="0"/>
        <v>3</v>
      </c>
      <c r="I7">
        <v>1</v>
      </c>
      <c r="J7">
        <v>1</v>
      </c>
      <c r="L7">
        <v>1</v>
      </c>
      <c r="M7" t="s">
        <v>81</v>
      </c>
    </row>
    <row r="8" spans="1:15">
      <c r="A8">
        <v>20</v>
      </c>
      <c r="B8" t="s">
        <v>76</v>
      </c>
      <c r="D8" t="s">
        <v>122</v>
      </c>
      <c r="E8">
        <v>10</v>
      </c>
      <c r="G8">
        <v>0.73</v>
      </c>
      <c r="H8">
        <f t="shared" si="0"/>
        <v>7.3</v>
      </c>
      <c r="I8">
        <v>1</v>
      </c>
      <c r="J8">
        <v>1</v>
      </c>
      <c r="L8">
        <v>1</v>
      </c>
      <c r="M8" t="s">
        <v>75</v>
      </c>
      <c r="O8" s="8"/>
    </row>
    <row r="9" spans="1:15">
      <c r="A9">
        <v>21</v>
      </c>
      <c r="B9" t="s">
        <v>123</v>
      </c>
      <c r="D9" t="s">
        <v>122</v>
      </c>
      <c r="E9">
        <v>3</v>
      </c>
      <c r="G9">
        <v>38.72</v>
      </c>
      <c r="H9">
        <f t="shared" si="0"/>
        <v>116.16</v>
      </c>
      <c r="I9">
        <v>1</v>
      </c>
      <c r="J9">
        <v>1</v>
      </c>
      <c r="L9">
        <v>0</v>
      </c>
      <c r="M9" t="s">
        <v>124</v>
      </c>
    </row>
    <row r="10" spans="1:15">
      <c r="A10">
        <v>22</v>
      </c>
      <c r="B10" t="s">
        <v>125</v>
      </c>
      <c r="D10" t="s">
        <v>122</v>
      </c>
      <c r="E10">
        <v>3</v>
      </c>
      <c r="G10">
        <v>12.63</v>
      </c>
      <c r="H10">
        <f t="shared" si="0"/>
        <v>37.89</v>
      </c>
      <c r="I10">
        <v>1</v>
      </c>
      <c r="J10">
        <v>1</v>
      </c>
      <c r="L10">
        <v>0</v>
      </c>
      <c r="M10" t="s">
        <v>82</v>
      </c>
    </row>
    <row r="11" spans="1:15">
      <c r="A11">
        <v>5</v>
      </c>
      <c r="B11" t="s">
        <v>145</v>
      </c>
      <c r="C11" t="s">
        <v>146</v>
      </c>
      <c r="D11" t="s">
        <v>133</v>
      </c>
      <c r="E11">
        <v>4</v>
      </c>
      <c r="F11">
        <v>9.5399999999999991</v>
      </c>
      <c r="G11">
        <f t="shared" ref="G11:G24" si="1">F11*1.21</f>
        <v>11.543399999999998</v>
      </c>
      <c r="H11">
        <f t="shared" si="0"/>
        <v>46.173599999999993</v>
      </c>
      <c r="I11">
        <v>1</v>
      </c>
      <c r="J11">
        <v>1</v>
      </c>
      <c r="L11">
        <v>0</v>
      </c>
      <c r="M11" t="s">
        <v>147</v>
      </c>
    </row>
    <row r="12" spans="1:15">
      <c r="A12">
        <v>6</v>
      </c>
      <c r="B12" t="s">
        <v>126</v>
      </c>
      <c r="C12" t="s">
        <v>127</v>
      </c>
      <c r="D12" t="s">
        <v>133</v>
      </c>
      <c r="E12">
        <v>2</v>
      </c>
      <c r="F12">
        <v>5.4</v>
      </c>
      <c r="G12">
        <f t="shared" si="1"/>
        <v>6.5339999999999998</v>
      </c>
      <c r="H12">
        <f t="shared" si="0"/>
        <v>13.068</v>
      </c>
      <c r="I12">
        <v>1</v>
      </c>
      <c r="J12">
        <v>1</v>
      </c>
      <c r="L12">
        <v>0</v>
      </c>
      <c r="M12" t="s">
        <v>143</v>
      </c>
      <c r="N12" t="s">
        <v>128</v>
      </c>
    </row>
    <row r="13" spans="1:15">
      <c r="A13">
        <v>7</v>
      </c>
      <c r="B13" t="s">
        <v>130</v>
      </c>
      <c r="C13" t="s">
        <v>107</v>
      </c>
      <c r="D13" t="s">
        <v>133</v>
      </c>
      <c r="E13">
        <v>10</v>
      </c>
      <c r="F13">
        <v>1.0900000000000001</v>
      </c>
      <c r="G13">
        <f t="shared" si="1"/>
        <v>1.3189</v>
      </c>
      <c r="H13">
        <f t="shared" si="0"/>
        <v>13.189</v>
      </c>
      <c r="I13">
        <v>1</v>
      </c>
      <c r="J13">
        <v>5</v>
      </c>
      <c r="L13">
        <v>0</v>
      </c>
      <c r="M13" t="s">
        <v>144</v>
      </c>
      <c r="N13" t="s">
        <v>131</v>
      </c>
    </row>
    <row r="14" spans="1:15">
      <c r="A14">
        <v>8</v>
      </c>
      <c r="B14" t="s">
        <v>99</v>
      </c>
      <c r="C14" t="s">
        <v>96</v>
      </c>
      <c r="D14" t="s">
        <v>133</v>
      </c>
      <c r="E14">
        <v>2</v>
      </c>
      <c r="F14">
        <v>21.18</v>
      </c>
      <c r="G14">
        <f t="shared" si="1"/>
        <v>25.627800000000001</v>
      </c>
      <c r="H14">
        <f t="shared" si="0"/>
        <v>51.255600000000001</v>
      </c>
      <c r="I14">
        <v>1</v>
      </c>
      <c r="J14">
        <v>1</v>
      </c>
      <c r="L14">
        <v>0</v>
      </c>
      <c r="M14" t="s">
        <v>135</v>
      </c>
      <c r="N14" t="s">
        <v>100</v>
      </c>
    </row>
    <row r="15" spans="1:15">
      <c r="A15">
        <v>9</v>
      </c>
      <c r="B15" t="s">
        <v>102</v>
      </c>
      <c r="C15" t="s">
        <v>96</v>
      </c>
      <c r="D15" t="s">
        <v>133</v>
      </c>
      <c r="E15">
        <v>1</v>
      </c>
      <c r="F15">
        <v>17.670000000000002</v>
      </c>
      <c r="G15">
        <f t="shared" si="1"/>
        <v>21.380700000000001</v>
      </c>
      <c r="H15">
        <f t="shared" si="0"/>
        <v>21.380700000000001</v>
      </c>
      <c r="I15">
        <v>1</v>
      </c>
      <c r="J15">
        <v>1</v>
      </c>
      <c r="L15">
        <v>0</v>
      </c>
      <c r="M15" t="s">
        <v>136</v>
      </c>
      <c r="N15" t="s">
        <v>103</v>
      </c>
    </row>
    <row r="16" spans="1:15">
      <c r="A16">
        <v>10</v>
      </c>
      <c r="B16" t="s">
        <v>38</v>
      </c>
      <c r="C16" t="s">
        <v>107</v>
      </c>
      <c r="D16" t="s">
        <v>133</v>
      </c>
      <c r="E16">
        <v>10</v>
      </c>
      <c r="F16">
        <v>0.92</v>
      </c>
      <c r="G16">
        <f t="shared" si="1"/>
        <v>1.1132</v>
      </c>
      <c r="H16">
        <f t="shared" si="0"/>
        <v>11.132</v>
      </c>
      <c r="I16">
        <v>1</v>
      </c>
      <c r="J16">
        <v>5</v>
      </c>
      <c r="L16">
        <v>0</v>
      </c>
      <c r="M16" t="s">
        <v>137</v>
      </c>
      <c r="N16" t="s">
        <v>108</v>
      </c>
    </row>
    <row r="17" spans="1:14">
      <c r="A17">
        <v>11</v>
      </c>
      <c r="B17" t="s">
        <v>46</v>
      </c>
      <c r="C17" t="s">
        <v>107</v>
      </c>
      <c r="D17" t="s">
        <v>133</v>
      </c>
      <c r="E17">
        <v>10</v>
      </c>
      <c r="F17">
        <v>2.52</v>
      </c>
      <c r="G17">
        <f t="shared" si="1"/>
        <v>3.0491999999999999</v>
      </c>
      <c r="H17">
        <f t="shared" si="0"/>
        <v>30.491999999999997</v>
      </c>
      <c r="I17">
        <v>0.5</v>
      </c>
      <c r="J17">
        <v>10</v>
      </c>
      <c r="L17">
        <v>0</v>
      </c>
      <c r="M17" t="s">
        <v>138</v>
      </c>
      <c r="N17" t="s">
        <v>109</v>
      </c>
    </row>
    <row r="18" spans="1:14">
      <c r="A18">
        <v>12</v>
      </c>
      <c r="B18" t="s">
        <v>48</v>
      </c>
      <c r="C18" t="s">
        <v>110</v>
      </c>
      <c r="D18" t="s">
        <v>133</v>
      </c>
      <c r="E18">
        <v>10</v>
      </c>
      <c r="F18">
        <v>0.71</v>
      </c>
      <c r="G18">
        <f t="shared" si="1"/>
        <v>0.85909999999999997</v>
      </c>
      <c r="H18">
        <f t="shared" si="0"/>
        <v>8.5909999999999993</v>
      </c>
      <c r="I18">
        <v>0.5</v>
      </c>
      <c r="J18">
        <v>5</v>
      </c>
      <c r="L18">
        <v>0</v>
      </c>
      <c r="M18" t="s">
        <v>139</v>
      </c>
      <c r="N18" t="s">
        <v>111</v>
      </c>
    </row>
    <row r="19" spans="1:14">
      <c r="A19">
        <v>13</v>
      </c>
      <c r="B19" t="s">
        <v>50</v>
      </c>
      <c r="C19" t="s">
        <v>112</v>
      </c>
      <c r="D19" t="s">
        <v>133</v>
      </c>
      <c r="E19">
        <v>50</v>
      </c>
      <c r="F19">
        <v>0.31</v>
      </c>
      <c r="G19">
        <f t="shared" si="1"/>
        <v>0.37509999999999999</v>
      </c>
      <c r="H19">
        <f t="shared" si="0"/>
        <v>18.754999999999999</v>
      </c>
      <c r="I19">
        <v>1</v>
      </c>
      <c r="J19">
        <v>10</v>
      </c>
      <c r="L19">
        <v>0</v>
      </c>
      <c r="M19" t="s">
        <v>140</v>
      </c>
      <c r="N19" t="s">
        <v>113</v>
      </c>
    </row>
    <row r="20" spans="1:14">
      <c r="A20">
        <v>14</v>
      </c>
      <c r="B20" t="s">
        <v>65</v>
      </c>
      <c r="C20" t="s">
        <v>115</v>
      </c>
      <c r="D20" t="s">
        <v>133</v>
      </c>
      <c r="E20">
        <v>10</v>
      </c>
      <c r="F20">
        <v>0.96</v>
      </c>
      <c r="G20">
        <f t="shared" si="1"/>
        <v>1.1616</v>
      </c>
      <c r="H20">
        <f t="shared" si="0"/>
        <v>11.616</v>
      </c>
      <c r="I20">
        <v>1</v>
      </c>
      <c r="J20">
        <v>5</v>
      </c>
      <c r="L20">
        <v>0</v>
      </c>
      <c r="M20" t="s">
        <v>141</v>
      </c>
      <c r="N20" t="s">
        <v>116</v>
      </c>
    </row>
    <row r="21" spans="1:14">
      <c r="A21">
        <v>15</v>
      </c>
      <c r="B21" t="s">
        <v>158</v>
      </c>
      <c r="C21" t="s">
        <v>159</v>
      </c>
      <c r="D21" t="s">
        <v>133</v>
      </c>
      <c r="E21">
        <v>10</v>
      </c>
      <c r="F21">
        <v>0.42</v>
      </c>
      <c r="G21">
        <f t="shared" si="1"/>
        <v>0.50819999999999999</v>
      </c>
      <c r="H21">
        <f t="shared" si="0"/>
        <v>5.0819999999999999</v>
      </c>
      <c r="I21">
        <v>1</v>
      </c>
      <c r="J21">
        <v>5</v>
      </c>
      <c r="L21">
        <v>0</v>
      </c>
      <c r="M21" s="1" t="s">
        <v>160</v>
      </c>
      <c r="N21" t="s">
        <v>117</v>
      </c>
    </row>
    <row r="22" spans="1:14">
      <c r="A22">
        <v>16</v>
      </c>
      <c r="B22" t="s">
        <v>71</v>
      </c>
      <c r="C22" t="s">
        <v>110</v>
      </c>
      <c r="D22" t="s">
        <v>133</v>
      </c>
      <c r="E22">
        <v>10</v>
      </c>
      <c r="F22">
        <v>0.78</v>
      </c>
      <c r="G22">
        <f t="shared" si="1"/>
        <v>0.94379999999999997</v>
      </c>
      <c r="H22">
        <f t="shared" si="0"/>
        <v>9.4379999999999988</v>
      </c>
      <c r="I22">
        <v>1</v>
      </c>
      <c r="J22">
        <v>5</v>
      </c>
      <c r="L22">
        <v>0</v>
      </c>
      <c r="M22" t="s">
        <v>142</v>
      </c>
      <c r="N22" t="s">
        <v>118</v>
      </c>
    </row>
    <row r="23" spans="1:14">
      <c r="A23">
        <v>17</v>
      </c>
      <c r="B23" t="s">
        <v>148</v>
      </c>
      <c r="C23" t="s">
        <v>149</v>
      </c>
      <c r="D23" t="s">
        <v>133</v>
      </c>
      <c r="E23">
        <v>20</v>
      </c>
      <c r="F23">
        <v>0.14000000000000001</v>
      </c>
      <c r="G23">
        <f t="shared" si="1"/>
        <v>0.16940000000000002</v>
      </c>
      <c r="H23">
        <f t="shared" si="0"/>
        <v>3.3880000000000003</v>
      </c>
      <c r="I23">
        <v>1</v>
      </c>
      <c r="J23">
        <v>20</v>
      </c>
      <c r="L23">
        <v>0</v>
      </c>
      <c r="M23" t="s">
        <v>150</v>
      </c>
    </row>
    <row r="24" spans="1:14">
      <c r="A24">
        <v>23</v>
      </c>
      <c r="B24" t="s">
        <v>132</v>
      </c>
      <c r="G24">
        <f t="shared" si="1"/>
        <v>0</v>
      </c>
      <c r="H24">
        <f t="shared" si="0"/>
        <v>0</v>
      </c>
      <c r="I24">
        <v>1</v>
      </c>
      <c r="L24">
        <v>1</v>
      </c>
      <c r="M24" t="s">
        <v>151</v>
      </c>
    </row>
    <row r="25" spans="1:14">
      <c r="G25" s="8"/>
      <c r="H25" s="8"/>
    </row>
    <row r="26" spans="1:14">
      <c r="B26" t="s">
        <v>92</v>
      </c>
      <c r="G26" s="8"/>
      <c r="H26" s="8"/>
    </row>
    <row r="27" spans="1:14">
      <c r="B27" s="7">
        <f>SUM(Table1[Total Price])</f>
        <v>631.30089999999996</v>
      </c>
      <c r="G27" s="8"/>
      <c r="H27" s="8"/>
    </row>
    <row r="28" spans="1:14">
      <c r="G28" s="8">
        <f>SUM(H11:H23)</f>
        <v>243.56089999999998</v>
      </c>
      <c r="H28" s="8"/>
    </row>
  </sheetData>
  <sortState xmlns:xlrd2="http://schemas.microsoft.com/office/spreadsheetml/2017/richdata2" ref="A2:N23">
    <sortCondition ref="D2:D23"/>
  </sortState>
  <hyperlinks>
    <hyperlink ref="N12" r:id="rId1" display="https://www.digikey.ro/en/products/detail/toshiba-semiconductor-and-storage/TB6612FNG-C-8-EL/1730070?s=N4IgTCBcDaICoCEBsSCMYBiA5A4iAugL5A" xr:uid="{A1AE5710-3B6B-43CF-9E56-0A98EA4B5201}"/>
    <hyperlink ref="M10" r:id="rId2" display="https://sigmanortec.ro/Motor-mini-coreless-20x8-5-ax-1mm-50000RPM-p209682505" xr:uid="{49C42746-5C4C-4EA2-B14F-C56D18D69E94}"/>
    <hyperlink ref="M9" r:id="rId3" display="https://sigmanortec.ro/Motor-DC-Micro-Metal-6V-HPCB-Perii-Carbon-30-1-p200733572" xr:uid="{798A54D3-79AA-45ED-A6D9-57BCF67E634C}"/>
    <hyperlink ref="M8" r:id="rId4" display="https://sigmanortec.ro/Buton-micro-fara-retinere-1-6mm-p125704779" xr:uid="{236B0D0E-BAD0-47C2-A8C5-12E9FEC1A946}"/>
    <hyperlink ref="M7" r:id="rId5" display="https://sigmanortec.ro/Dioda-Schottky-1N5819-SMD-SS14-40V-p128704286" xr:uid="{18DC72FD-C0FE-4D2A-9625-D1BE5AA2A13A}"/>
    <hyperlink ref="M6" r:id="rId6" display="https://sigmanortec.ro/Modul-Bluetooth-HC-05-p141736971" xr:uid="{212E6036-26E1-46AD-9A3F-F60E40E16BBE}"/>
    <hyperlink ref="N5" r:id="rId7" display="https://www.digikey.ro/en/products/detail/cree-led/CLMVC-FKA-CL1D1L71BB7C3C3/4794065" xr:uid="{EFC34A89-E1DE-4576-8068-F68BA838C14F}"/>
    <hyperlink ref="N22" r:id="rId8" display="https://www.digikey.ro/en/products/detail/texas-instruments/TLV75533PDBVR/9356541?s=N4IgTCBcDaICoBkBqB2ArGgzJgCgEQCEkAlEAXQF8g" xr:uid="{F671FE5E-7358-40C0-8C18-52BF85BA350F}"/>
    <hyperlink ref="N21" r:id="rId9" display="https://www.digikey.ro/en/products/detail/taiyo-yuden/NRS5040T3R3NMGJ/4970846" xr:uid="{3D29DCE0-668A-42A4-AEEB-2A5FDD7966E6}"/>
    <hyperlink ref="N20" r:id="rId10" display="https://www.digikey.ro/en/products/detail/diodes-incorporated/AP62300Z6-7/16547279?s=N4IgTCBcDaIIIAUBsYDMAGdAtJBaA7CALoC%2BQA" xr:uid="{398AFD86-054F-49C6-935E-90AC0E94D372}"/>
    <hyperlink ref="N4" r:id="rId11" display="https://www.digikey.ro/en/products/detail/abracon-llc/ABLS-8-000MHZ-B4-T/2184155" xr:uid="{ACAFC21E-4CA2-4B38-9B54-8D6CC5060795}"/>
    <hyperlink ref="N19" r:id="rId12" display="https://www.digikey.ro/en/products/detail/umw/AO3400A/16705910" xr:uid="{79B3942F-7A2A-4F8E-92F3-D3C944C90D59}"/>
    <hyperlink ref="N18" r:id="rId13" display="https://www.digikey.ro/en/products/detail/texas-instruments/TLV9062IDR/7364940?s=N4IgTCBcDaICoBkBqBOADANjASQCICUQBdAXyA" xr:uid="{A5F8C2C0-60E8-4985-AFC0-067E8AA259A5}"/>
    <hyperlink ref="N17" r:id="rId14" display="https://www.digikey.ro/en/products/detail/vishay-semiconductor-opto-division/BPV10NF/1681136?s=N4IgTCBcDaIEIAUBqBGADAOQGIgLoF8g" xr:uid="{36BDEF01-A8BD-4513-ACE4-DE00208DD0AB}"/>
    <hyperlink ref="N16" r:id="rId15" display="https://www.digikey.ro/en/products/detail/vishay-semiconductor-opto-division/TSAL6100/1681338" xr:uid="{28EDC5F5-914D-4B1B-9C8C-97FADD9D46AA}"/>
    <hyperlink ref="N3" r:id="rId16" display="https://www.digikey.ro/en/products/detail/adafruit-industries-llc/4438/11497501" xr:uid="{17DE953F-7915-4CEA-98CB-39EBEC744BA1}"/>
    <hyperlink ref="N15" r:id="rId17" display="https://www.digikey.ro/en/products/detail/stmicroelectronics/LSM6DSOXTR/9841882?s=N4IgTCBcDaIDIGUCyA2AIgg8gDRAXQF8g" xr:uid="{D0E9FADF-F230-4257-8C6E-3C096B2BA238}"/>
    <hyperlink ref="N14" r:id="rId18" display="https://www.digikey.ro/en/products/detail/stmicroelectronics/STM32F411RET6/4935722" xr:uid="{076E366B-FE2A-45AC-974E-C139738DEF96}"/>
    <hyperlink ref="N2" r:id="rId19" display="https://www.digikey.ro/en/products/detail/stmicroelectronics/NUCLEO-F411RE/4866485?s=N4IgTCBcDaIHIFUDCAZAogeQLQDEAsAjAQEpogC6AvkA" xr:uid="{978353D6-9CBA-4B41-B24A-E14A1F54B444}"/>
    <hyperlink ref="N13" r:id="rId20" display="https://www.digikey.ro/en/products/detail/vishay-semiconductor-opto-division/TEFT4300/1681175" xr:uid="{6CDBA7A4-390C-47D1-B088-58846F2144B2}"/>
    <hyperlink ref="M14" r:id="rId21" display="https://www.lcsc.com/product-detail/C94355.html?s_z=n_q_STM32F411RET6&amp;spm=wm.fly.bg.0.xh&amp;lcsc_vid=FQBfBVRVQAUPVVdQFlIPBFJeQQcNVF1XRQINUgFWFVAxVlNeQVVbVFJTT1ZZUDsOAxUeFF5JWBYZEEoKFBINSQcJGk4NBhADEA4cHkteQ1lADxALGw%3D%3D" xr:uid="{7AC5FDF4-B089-4F91-AB43-9598FAF38785}"/>
    <hyperlink ref="M15" r:id="rId22" display="https://www.lcsc.com/product-detail/C481766.html?s_z=n_q_LSM6DSOXTR&amp;spm=wm.fly.bg.0.xh&amp;lcsc_vid=FQBfBVRVQAUPVVdQFlIPBFJeQQcNVF1XRQINUgFWFVAxVlNeQVVbVFNTRlJcVDsOAxUeFF5JWBYZEEoKFBINSQcJGk4NBhADEA4cHktfQ1BADxALGw%3D%3D" xr:uid="{F3963443-0480-4738-81FD-B0AD68BC538C}"/>
    <hyperlink ref="M16" r:id="rId23" display="https://www.lcsc.com/product-detail/C111836.html?s_z=n_q_TSAL6100&amp;spm=wm.fly.bg.0.xh&amp;lcsc_vid=FQBfBVRVQAUPVVdQFlIPBFJeQQcNVF1XRQINUgFWFVAxVlNeQVVbVFxSR1NYXzsOAxUeFF5JWBYZEEoKFBINSQcJGk4NBhADEA4cHktXRVRfSQwSGg0%3D" xr:uid="{F6BC4AE9-EFB5-4EAD-96DE-B3A38D2557D6}"/>
    <hyperlink ref="M17" r:id="rId24" display="https://www.lcsc.com/product-detail/C118288.html?s_z=n_q_BPV10NF&amp;spm=wm.fly.bg.0.xh&amp;lcsc_vid=FQBfBVRVQAUPVVdQFlIPBFJeQQcNVF1XRQINUgFWFVAxVlNeQVVbVFxfRFNaVjsOAxUeFF5JWBYZEEoKFBINSQcJGk4NBhADEA4cHktSRlBADxALGw%3D%3D" xr:uid="{C8502BD8-5E8D-47C5-85A6-944AFB2E8D17}"/>
    <hyperlink ref="M18" r:id="rId25" display="https://www.lcsc.com/product-detail/C398355.html?s_z=n_q_x_TLV9062IDR&amp;spm=wm.ssy.em.0.tz&amp;lcsc_vid=FQBfBVRVQAUPVVdQFlIPBFJeQQcNVF1XRQINUgFWFVAxVlNeQVVbVF1RRVZYVjsOAxUeFF5JWBYZEEoKFBINSQcJGk4NBhADEA4cHktXRVddSQwSGg0%3D" xr:uid="{0EC453CE-6CE2-4B90-A97C-94128C5CD7D8}"/>
    <hyperlink ref="M19" r:id="rId26" display="https://www.lcsc.com/product-detail/C20917.html?s_z=n_q_AO3400A&amp;spm=wm.fly.bg.0.xh&amp;lcsc_vid=FQBfBVRVQAUPVVdQFlIPBFJeQQcNVF1XRQINUgFWFVAxVlNeQVVbU1RSQVNeUDsOAxUeFF5JWBYZEEoKFBINSQcJGk4dAgUUFAk%3D" xr:uid="{CC1EEA12-849E-4A66-8EC8-104A221385AC}"/>
    <hyperlink ref="M20" r:id="rId27" display="https://www.lcsc.com/product-detail/C5250745.html?s_z=n_q_AP62300Z6-7&amp;spm=wm.fly.bg.0.xh&amp;lcsc_vid=FQBfBVRVQAUPVVdQFlIPBFJeQQcNVF1XRQINUgFWFVAxVlNeQVVbU1VTQ1lXVjsOAxUeFF5JWBYZEEoKFBINSQcJGk4NBhADEA4cHktXRlRbSQwSGg0%3D" xr:uid="{12149DD9-B80B-4EB6-8FD1-A461639AFB0E}"/>
    <hyperlink ref="M22" r:id="rId28" display="https://www.lcsc.com/product-detail/C404027.html?s_z=n_q_TLV75533PDBVR&amp;spm=wm.fly.bg.0.xh&amp;lcsc_vid=FQBfBVRVQAUPVVdQFlIPBFJeQQcNVF1XRQINUgFWFVAxVlNeQVVbU1dWQVRcUjsOAxUeFF5JWBYZEEoKFBINSQcJGk4dAgUUFAk%3D" xr:uid="{08C2F20C-33D4-436E-B599-6C93FCF6DD96}"/>
    <hyperlink ref="M12" r:id="rId29" display="https://www.lcsc.com/product-detail/C141517.html?s_z=n_q_TB6612FNG&amp;spm=wm.fly.bg.0.xh&amp;lcsc_vid=FQBfBVRVQAUPVVdQFlIPBFJeQQcNVF1XRQINUgFWFVAxVlNeQVVbU1dQTlBeXjsOAxUeFF5JWBYZEEoKFBINSQcJGk4NBhADEA4cHktXRVZeSQwSGg0%3D" xr:uid="{13F8DA37-370F-4375-855D-D5CE1AEF859B}"/>
    <hyperlink ref="M13" r:id="rId30" display="https://www.lcsc.com/product-detail/C118301.html?s_z=n_q_TEFT4300&amp;spm=wm.fly.bg.0.xh&amp;lcsc_vid=FQBfBVRVQAUPVVdQFlIPBFJeQQcNVF1XRQINUgFWFVAxVlNeQVVbU1BTRFJYUzsOAxUeFF5JWBYZEEoKFBINSQcJGk4NBhADEA4cHktXQ1VfSQwSGg0%3D" xr:uid="{300A3969-0246-4367-9525-EE759EDAA06E}"/>
    <hyperlink ref="M11" r:id="rId31" display="https://www.lcsc.com/product-detail/C50203010.html?s_z=n_q_MT6701CT-ACD&amp;spm=wm.fly.bg.0.xh&amp;lcsc_vid=FQBfBVRVQAUPVVdQFlIPBFJeQQcNVF1XRQINUgFWFVAxVlNeQVVYUlJVT1JXVzsOAxUeFF5JWBYZEEoKFBINSQcJGk4eFQsCAgIaSgADAwAHC0slRFFeVFVfQU8GEwkK" xr:uid="{A65D1758-9698-480B-850A-E674A538086D}"/>
    <hyperlink ref="M23" r:id="rId32" display="https://www.lcsc.com/product-detail/C19829543.html?s_z=n_q_ESD3V3U1U&amp;spm=wm.fly.bg.1.xh&amp;lcsc_vid=FQBfBVRVQAUPVVdQFlIPBFJeQQcNVF1XRQINUgFWFVAxVlNeQVVYUV1TT1heVTsOAxUeFF5JWBYZEEoKFBINSQcJGk4NBhADEA4cHktRR1NADxALGw%3D%3D" xr:uid="{07BA1E9B-C7EC-4AA1-A9E3-5EC19B289B5B}"/>
    <hyperlink ref="M2" r:id="rId33" display="https://www.tme.eu/ro/details/nucleo-f411re/kituri-de-dezvoltare-stm/stmicroelectronics/" xr:uid="{69170CFE-C5E3-48E5-93D2-791D489D990A}"/>
    <hyperlink ref="M3" r:id="rId34" display="https://www.tme.eu/ro/details/abx00101/solutii-arduino/arduino/modulino-movement/" xr:uid="{F144BF92-4ED3-4998-AFDE-91611CE0E743}"/>
    <hyperlink ref="M4" r:id="rId35" display="https://www.tme.eu/ro/details/8.00m-smdhc49s/resonators-and-generators/yic/" xr:uid="{220F2AB7-0894-4030-8B00-577AB6BCB560}"/>
    <hyperlink ref="M5" r:id="rId36" display="https://www.tme.eu/ro/details/rf-w7sp30ts-a44/diode-led-smd-colorate/refond/" xr:uid="{EE57C078-EEE4-4A22-914E-A167F898EF55}"/>
    <hyperlink ref="M21" r:id="rId37" display="https://www.lcsc.com/product-detail/C5349667.html?s_z=n_q_t_3.3uH&amp;spm=wm.fly.bg.7.xh___wm.ssy.tc.0.tz&amp;lcsc_vid=FQBfBVRVQAUPVVdQFlIPBFJeQQcNVF1XRQINUgFWFVAxVlNeQVRbUF1QRFBcVjsOAxUeFF5JWBYZEEoKFBINSQcJGk4eFQsCAgIaSgADAwAHC0slRVNcXlBQWQkaCgg%3D" xr:uid="{8B513A70-CC11-46C3-9112-7E18CAB3040F}"/>
  </hyperlinks>
  <pageMargins left="0.7" right="0.7" top="0.75" bottom="0.75" header="0.3" footer="0.3"/>
  <tableParts count="1">
    <tablePart r:id="rId3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7BFD4-2314-4C20-864D-2177B0FC4D2D}">
  <dimension ref="A1:J26"/>
  <sheetViews>
    <sheetView workbookViewId="0">
      <selection activeCell="B20" sqref="B20"/>
    </sheetView>
  </sheetViews>
  <sheetFormatPr defaultRowHeight="15"/>
  <cols>
    <col min="1" max="1" width="27.5703125" bestFit="1" customWidth="1"/>
    <col min="2" max="2" width="139.5703125" bestFit="1" customWidth="1"/>
    <col min="4" max="4" width="3.85546875" bestFit="1" customWidth="1"/>
    <col min="5" max="5" width="6" bestFit="1" customWidth="1"/>
    <col min="6" max="6" width="68.42578125" bestFit="1" customWidth="1"/>
    <col min="7" max="7" width="11.140625" bestFit="1" customWidth="1"/>
    <col min="8" max="8" width="16.42578125" bestFit="1" customWidth="1"/>
    <col min="9" max="9" width="12" bestFit="1" customWidth="1"/>
    <col min="10" max="10" width="15.42578125" bestFit="1" customWidth="1"/>
  </cols>
  <sheetData>
    <row r="1" spans="1:10">
      <c r="A1" t="s">
        <v>26</v>
      </c>
      <c r="B1" t="s">
        <v>1</v>
      </c>
      <c r="C1" t="s">
        <v>27</v>
      </c>
      <c r="D1" t="s">
        <v>2</v>
      </c>
      <c r="E1" t="s">
        <v>28</v>
      </c>
      <c r="F1" t="s">
        <v>12</v>
      </c>
      <c r="G1" t="s">
        <v>85</v>
      </c>
      <c r="H1" t="s">
        <v>29</v>
      </c>
      <c r="I1" t="s">
        <v>30</v>
      </c>
      <c r="J1" t="s">
        <v>12</v>
      </c>
    </row>
    <row r="2" spans="1:10">
      <c r="A2" s="3" t="s">
        <v>31</v>
      </c>
      <c r="B2" s="1" t="s">
        <v>32</v>
      </c>
      <c r="C2">
        <v>60.87</v>
      </c>
      <c r="D2">
        <v>1</v>
      </c>
      <c r="E2">
        <f>D2*C2</f>
        <v>60.87</v>
      </c>
      <c r="H2" s="3"/>
    </row>
    <row r="3" spans="1:10">
      <c r="A3" s="3" t="s">
        <v>33</v>
      </c>
      <c r="B3" s="1" t="s">
        <v>34</v>
      </c>
      <c r="C3">
        <v>86.63</v>
      </c>
      <c r="D3">
        <v>1</v>
      </c>
      <c r="E3">
        <f t="shared" ref="E3:E23" si="0">D3*C3</f>
        <v>86.63</v>
      </c>
      <c r="H3" s="3"/>
    </row>
    <row r="4" spans="1:10">
      <c r="A4" s="4" t="s">
        <v>35</v>
      </c>
      <c r="B4" s="1" t="s">
        <v>36</v>
      </c>
      <c r="C4">
        <v>1.35</v>
      </c>
      <c r="D4">
        <v>10</v>
      </c>
      <c r="E4">
        <f t="shared" si="0"/>
        <v>13.5</v>
      </c>
      <c r="F4" t="s">
        <v>37</v>
      </c>
      <c r="H4" s="3"/>
    </row>
    <row r="5" spans="1:10">
      <c r="A5" s="3" t="s">
        <v>38</v>
      </c>
      <c r="B5" s="1" t="s">
        <v>39</v>
      </c>
      <c r="C5">
        <v>1.79</v>
      </c>
      <c r="D5">
        <v>10</v>
      </c>
      <c r="E5">
        <f t="shared" si="0"/>
        <v>17.899999999999999</v>
      </c>
      <c r="F5" t="s">
        <v>37</v>
      </c>
      <c r="H5" s="3"/>
    </row>
    <row r="6" spans="1:10">
      <c r="A6" s="4" t="s">
        <v>40</v>
      </c>
      <c r="B6" s="1" t="s">
        <v>41</v>
      </c>
      <c r="C6">
        <v>2.2400000000000002</v>
      </c>
      <c r="D6">
        <v>10</v>
      </c>
      <c r="E6">
        <f t="shared" si="0"/>
        <v>22.400000000000002</v>
      </c>
      <c r="F6" t="s">
        <v>37</v>
      </c>
      <c r="H6" s="4" t="s">
        <v>42</v>
      </c>
      <c r="I6">
        <v>2.37</v>
      </c>
      <c r="J6" t="s">
        <v>43</v>
      </c>
    </row>
    <row r="7" spans="1:10">
      <c r="A7" s="5" t="s">
        <v>44</v>
      </c>
      <c r="B7" s="1" t="s">
        <v>45</v>
      </c>
      <c r="C7">
        <v>3.78</v>
      </c>
      <c r="D7">
        <v>10</v>
      </c>
      <c r="E7">
        <f t="shared" si="0"/>
        <v>37.799999999999997</v>
      </c>
      <c r="F7" t="s">
        <v>37</v>
      </c>
      <c r="H7" s="3"/>
      <c r="I7">
        <v>2.1800000000000002</v>
      </c>
      <c r="J7" t="s">
        <v>43</v>
      </c>
    </row>
    <row r="8" spans="1:10">
      <c r="A8" s="3" t="s">
        <v>46</v>
      </c>
      <c r="B8" s="1" t="s">
        <v>47</v>
      </c>
      <c r="C8">
        <v>3.16</v>
      </c>
      <c r="D8">
        <v>10</v>
      </c>
      <c r="E8">
        <f t="shared" si="0"/>
        <v>31.6</v>
      </c>
      <c r="F8" t="s">
        <v>37</v>
      </c>
      <c r="H8" s="3"/>
      <c r="I8">
        <v>2.46</v>
      </c>
      <c r="J8" t="s">
        <v>43</v>
      </c>
    </row>
    <row r="9" spans="1:10">
      <c r="A9" s="3" t="s">
        <v>48</v>
      </c>
      <c r="B9" s="1" t="s">
        <v>49</v>
      </c>
      <c r="C9">
        <v>3.61</v>
      </c>
      <c r="D9">
        <v>10</v>
      </c>
      <c r="E9">
        <f t="shared" si="0"/>
        <v>36.1</v>
      </c>
      <c r="F9" t="s">
        <v>37</v>
      </c>
      <c r="H9" s="3"/>
      <c r="I9">
        <v>0.64</v>
      </c>
    </row>
    <row r="10" spans="1:10">
      <c r="A10" s="3" t="s">
        <v>50</v>
      </c>
      <c r="B10" s="1" t="s">
        <v>51</v>
      </c>
      <c r="C10">
        <v>0.37</v>
      </c>
      <c r="D10">
        <v>50</v>
      </c>
      <c r="E10">
        <f t="shared" si="0"/>
        <v>18.5</v>
      </c>
      <c r="F10" t="s">
        <v>52</v>
      </c>
      <c r="H10" s="3"/>
      <c r="I10">
        <v>0.38</v>
      </c>
    </row>
    <row r="11" spans="1:10">
      <c r="A11" s="6" t="s">
        <v>53</v>
      </c>
      <c r="B11" s="1" t="s">
        <v>80</v>
      </c>
      <c r="C11">
        <v>3.55</v>
      </c>
      <c r="D11">
        <v>10</v>
      </c>
      <c r="E11">
        <f t="shared" si="0"/>
        <v>35.5</v>
      </c>
      <c r="F11" t="s">
        <v>58</v>
      </c>
      <c r="G11" s="3"/>
      <c r="H11" s="5"/>
    </row>
    <row r="12" spans="1:10">
      <c r="A12" s="3" t="s">
        <v>54</v>
      </c>
      <c r="B12" s="1" t="s">
        <v>83</v>
      </c>
      <c r="C12">
        <v>22.46</v>
      </c>
      <c r="D12">
        <v>3</v>
      </c>
      <c r="E12">
        <f t="shared" si="0"/>
        <v>67.38</v>
      </c>
      <c r="F12" t="s">
        <v>84</v>
      </c>
      <c r="H12" s="5"/>
    </row>
    <row r="13" spans="1:10">
      <c r="A13" s="3" t="s">
        <v>55</v>
      </c>
      <c r="B13" s="1" t="s">
        <v>56</v>
      </c>
      <c r="C13">
        <v>6.09</v>
      </c>
      <c r="D13">
        <v>1</v>
      </c>
      <c r="E13">
        <f t="shared" si="0"/>
        <v>6.09</v>
      </c>
      <c r="H13" s="3"/>
      <c r="I13">
        <v>10.38</v>
      </c>
    </row>
    <row r="14" spans="1:10">
      <c r="A14" s="3" t="s">
        <v>57</v>
      </c>
      <c r="B14" s="1" t="s">
        <v>82</v>
      </c>
      <c r="C14">
        <v>12.63</v>
      </c>
      <c r="D14">
        <v>4</v>
      </c>
      <c r="E14">
        <f t="shared" si="0"/>
        <v>50.52</v>
      </c>
      <c r="H14" s="5"/>
    </row>
    <row r="15" spans="1:10">
      <c r="A15" s="3" t="s">
        <v>60</v>
      </c>
      <c r="B15" s="1" t="s">
        <v>59</v>
      </c>
      <c r="C15">
        <v>1.19</v>
      </c>
      <c r="D15">
        <v>10</v>
      </c>
      <c r="E15">
        <f t="shared" si="0"/>
        <v>11.899999999999999</v>
      </c>
      <c r="F15" t="s">
        <v>37</v>
      </c>
      <c r="H15" s="3"/>
    </row>
    <row r="16" spans="1:10">
      <c r="A16" s="3" t="s">
        <v>62</v>
      </c>
      <c r="B16" s="1" t="s">
        <v>61</v>
      </c>
      <c r="C16">
        <v>2.74</v>
      </c>
      <c r="D16">
        <v>5</v>
      </c>
      <c r="E16">
        <f t="shared" si="0"/>
        <v>13.700000000000001</v>
      </c>
      <c r="F16" t="s">
        <v>63</v>
      </c>
    </row>
    <row r="17" spans="1:10">
      <c r="A17" s="3" t="s">
        <v>65</v>
      </c>
      <c r="B17" s="1" t="s">
        <v>64</v>
      </c>
      <c r="C17">
        <v>1.1100000000000001</v>
      </c>
      <c r="D17">
        <v>10</v>
      </c>
      <c r="E17">
        <f t="shared" si="0"/>
        <v>11.100000000000001</v>
      </c>
      <c r="F17" t="s">
        <v>66</v>
      </c>
      <c r="H17" s="3"/>
      <c r="I17">
        <v>0.73</v>
      </c>
    </row>
    <row r="18" spans="1:10">
      <c r="A18" s="3" t="s">
        <v>68</v>
      </c>
      <c r="B18" s="1" t="s">
        <v>67</v>
      </c>
      <c r="C18">
        <v>0.56999999999999995</v>
      </c>
      <c r="D18">
        <v>10</v>
      </c>
      <c r="E18">
        <f t="shared" si="0"/>
        <v>5.6999999999999993</v>
      </c>
      <c r="F18" t="s">
        <v>37</v>
      </c>
      <c r="H18" s="5"/>
      <c r="J18" t="s">
        <v>69</v>
      </c>
    </row>
    <row r="19" spans="1:10">
      <c r="A19" s="3" t="s">
        <v>71</v>
      </c>
      <c r="B19" s="1" t="s">
        <v>70</v>
      </c>
      <c r="C19">
        <v>1.28</v>
      </c>
      <c r="D19">
        <v>5</v>
      </c>
      <c r="E19">
        <f t="shared" si="0"/>
        <v>6.4</v>
      </c>
      <c r="F19" t="s">
        <v>63</v>
      </c>
      <c r="H19" s="3"/>
      <c r="I19">
        <v>0.73</v>
      </c>
    </row>
    <row r="20" spans="1:10">
      <c r="A20" s="3" t="s">
        <v>73</v>
      </c>
      <c r="B20" s="1" t="s">
        <v>72</v>
      </c>
      <c r="C20">
        <v>0.5</v>
      </c>
      <c r="D20">
        <v>25</v>
      </c>
      <c r="E20">
        <f t="shared" si="0"/>
        <v>12.5</v>
      </c>
      <c r="F20" t="s">
        <v>74</v>
      </c>
    </row>
    <row r="21" spans="1:10">
      <c r="A21" s="3" t="s">
        <v>76</v>
      </c>
      <c r="B21" s="1" t="s">
        <v>75</v>
      </c>
      <c r="C21">
        <v>0.73</v>
      </c>
      <c r="D21">
        <v>5</v>
      </c>
      <c r="E21">
        <f t="shared" si="0"/>
        <v>3.65</v>
      </c>
      <c r="G21" s="3"/>
    </row>
    <row r="22" spans="1:10">
      <c r="A22" s="3" t="s">
        <v>77</v>
      </c>
      <c r="B22" s="1" t="s">
        <v>81</v>
      </c>
      <c r="C22">
        <v>0.3</v>
      </c>
      <c r="D22">
        <v>10</v>
      </c>
      <c r="E22">
        <f t="shared" si="0"/>
        <v>3</v>
      </c>
      <c r="G22" s="3"/>
      <c r="H22" s="3"/>
      <c r="I22">
        <v>0.05</v>
      </c>
    </row>
    <row r="23" spans="1:10">
      <c r="A23" s="3" t="s">
        <v>78</v>
      </c>
      <c r="B23" s="1" t="s">
        <v>79</v>
      </c>
      <c r="C23">
        <v>27.04</v>
      </c>
      <c r="D23">
        <v>1</v>
      </c>
      <c r="E23">
        <f t="shared" si="0"/>
        <v>27.04</v>
      </c>
      <c r="G23" s="3"/>
    </row>
    <row r="26" spans="1:10">
      <c r="C26" s="7">
        <f>SUM(E2,E3,E5,E8,E9,E10,E11,E12,E13,E14,E15,E16,E17,E18,E19,E20,E21,E22)</f>
        <v>479.03999999999991</v>
      </c>
    </row>
  </sheetData>
  <hyperlinks>
    <hyperlink ref="B2" r:id="rId1" display="https://www.tme.eu/ro/details/abx00101/solutii-arduino/arduino/modulino-movement/" xr:uid="{D35C8069-DF58-4977-BE39-0F80C116EE80}"/>
    <hyperlink ref="B3" r:id="rId2" display="https://www.tme.eu/ro/details/nucleo-f411re/kituri-de-dezvoltare-stm/stmicroelectronics/" xr:uid="{DD1EE9A0-CC48-4190-8699-3CA1ACC44606}"/>
    <hyperlink ref="B4" r:id="rId3" display="https://www.tme.eu/ro/details/tsal6200/diode-led-ir/vishay/" xr:uid="{5ED32442-907C-4E34-B44C-3E6D0E75B036}"/>
    <hyperlink ref="B5" r:id="rId4" display="https://www.tme.eu/ro/details/tsal6100/diode-led-ir/vishay/" xr:uid="{FFA4B2AA-F034-408B-8071-11CC4F162F4B}"/>
    <hyperlink ref="B6" r:id="rId5" display="https://www.tme.eu/ro/details/sfh4544/diode-led-ir/ams-osram/sfh-4544/" xr:uid="{19096F90-16E2-4480-9FF3-71FFEC001313}"/>
    <hyperlink ref="B7" r:id="rId6" display="https://www.tme.eu/ro/details/vbpw34s/fotodiode/vishay/" xr:uid="{308726DB-775C-4AC2-8095-DC9FE1AD9733}"/>
    <hyperlink ref="B8" r:id="rId7" display="https://www.tme.eu/ro/details/bpv10nf/fotodiode/vishay/" xr:uid="{F4E73290-E2EA-4A34-BEB3-C8149A259B58}"/>
    <hyperlink ref="B9" r:id="rId8" display="https://www.tme.eu/ro/details/tlv9062idr/amplificatori-operationali-smd/texas-instruments/" xr:uid="{F7F78B5C-9280-4DC9-BFAC-B451914D6A8B}"/>
    <hyperlink ref="B10" r:id="rId9" display="https://www.tme.eu/ro/details/ao3400a/tranzistori-canal-n-smd/alpha-omega-semiconductor/" xr:uid="{0FD000D7-0E7D-49A9-B04C-5DF15C0D2A4F}"/>
    <hyperlink ref="B13" r:id="rId10" display="https://sigmanortec.ro/en/motor-driver-module-dual-h-bridge-drv8833-15a" xr:uid="{09DA05FC-4EC6-4663-A8D4-D3A7AFBC7C90}"/>
    <hyperlink ref="B15" r:id="rId11" display="https://www.tme.eu/ro/details/8.00m-smdhc49s/resonators-and-generators/yic/" xr:uid="{D854907E-B6FD-4059-9AEB-51C003A3EA30}"/>
    <hyperlink ref="B16" r:id="rId12" display="https://www.tme.eu/ro/details/303a-753018-000/alti-conectori/attend/" xr:uid="{DE9E3531-6F67-4C1A-9B62-120BA127E96F}"/>
    <hyperlink ref="B17" r:id="rId13" display="https://www.tme.eu/ro/details/ap62300z6-7/regulatoare-de-tensiune-circuite-dc-dc/diodes-incorporated/" xr:uid="{DFF0BFBA-457D-4A63-8609-714C56CEFEC9}"/>
    <hyperlink ref="B18" r:id="rId14" display="https://www.tme.eu/ro/details/nrs5030t3r3mmgj/inductoare/taiyo-yuden/" xr:uid="{F84D9F15-F947-41BF-A340-EF05FD09EFA3}"/>
    <hyperlink ref="B19" r:id="rId15" display="https://www.tme.eu/ro/details/tlv75533pdbvr/regulatoare-de-tensiune-neregulata-ldo/texas-instruments/" xr:uid="{D5B319E1-3C65-4490-B1E2-92BEDA1C32B9}"/>
    <hyperlink ref="B20" r:id="rId16" display="https://www.tme.eu/ro/en/details/rf-w7sp30ts-a44/smd-colour-leds/refond/" xr:uid="{073AE1EF-0A51-4AD1-A06C-5B3780EA93DB}"/>
    <hyperlink ref="B21" r:id="rId17" display="https://sigmanortec.ro/Buton-micro-fara-retinere-1-6mm-p125704779" xr:uid="{78EBB1CC-DCA0-4B8D-9BE2-131648C30513}"/>
    <hyperlink ref="B23" r:id="rId18" display="https://sigmanortec.ro/Modul-Bluetooth-HC-05-p141736971" xr:uid="{06EA724F-2F75-42C8-9D03-DE904D629705}"/>
    <hyperlink ref="B11" r:id="rId19" display="https://sigmanortec.ro/en/tcrt5000-optical-sensor-reflective" xr:uid="{D6875E0E-C9D6-4A33-80D3-57B66847159A}"/>
    <hyperlink ref="B22" r:id="rId20" display="https://sigmanortec.ro/Dioda-Schottky-1N5819-SMD-SS14-40V-p128704286" xr:uid="{AAB622CC-496F-4D82-BB64-6702C306E039}"/>
    <hyperlink ref="B14" r:id="rId21" display="https://sigmanortec.ro/Motor-mini-coreless-20x8-5-ax-1mm-50000RPM-p209682505" xr:uid="{6EC8C066-736E-4A8E-94C1-5C8022FB4FB4}"/>
    <hyperlink ref="B12" r:id="rId22" display="https://sigmanortec.ro/Motor-DC-mini-angrenaje-metal-N20-500RPM-p211611036" xr:uid="{D6E021C5-0206-4DFD-A02A-D84562DB69E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E9B66-5F3A-4F4A-A224-DB9DBA2C8397}">
  <dimension ref="A1:H17"/>
  <sheetViews>
    <sheetView workbookViewId="0">
      <selection activeCell="B22" sqref="B22"/>
    </sheetView>
  </sheetViews>
  <sheetFormatPr defaultRowHeight="15"/>
  <cols>
    <col min="1" max="1" width="7.28515625" bestFit="1" customWidth="1"/>
    <col min="2" max="2" width="136.7109375" bestFit="1" customWidth="1"/>
    <col min="3" max="3" width="14.5703125" bestFit="1" customWidth="1"/>
    <col min="4" max="4" width="5.7109375" customWidth="1"/>
    <col min="5" max="5" width="10.28515625" bestFit="1" customWidth="1"/>
    <col min="6" max="6" width="11.28515625" bestFit="1" customWidth="1"/>
    <col min="7" max="7" width="21.42578125" bestFit="1" customWidth="1"/>
    <col min="8" max="8" width="20.42578125" bestFit="1" customWidth="1"/>
  </cols>
  <sheetData>
    <row r="1" spans="1:8">
      <c r="A1" s="2" t="s">
        <v>0</v>
      </c>
      <c r="B1" t="s">
        <v>1</v>
      </c>
      <c r="C1" s="2" t="s">
        <v>6</v>
      </c>
      <c r="D1" s="2" t="s">
        <v>2</v>
      </c>
      <c r="E1" s="2" t="s">
        <v>7</v>
      </c>
      <c r="F1" s="2" t="s">
        <v>3</v>
      </c>
      <c r="G1" s="2" t="s">
        <v>12</v>
      </c>
    </row>
    <row r="2" spans="1:8">
      <c r="A2" s="10" t="s">
        <v>4</v>
      </c>
      <c r="B2" s="1" t="s">
        <v>5</v>
      </c>
      <c r="C2">
        <v>34.35</v>
      </c>
      <c r="D2">
        <v>3</v>
      </c>
      <c r="E2">
        <f>C2*D2</f>
        <v>103.05000000000001</v>
      </c>
    </row>
    <row r="3" spans="1:8">
      <c r="A3" s="10"/>
      <c r="B3" s="1" t="s">
        <v>11</v>
      </c>
      <c r="C3">
        <v>49.77</v>
      </c>
      <c r="D3">
        <v>3</v>
      </c>
      <c r="E3">
        <f t="shared" ref="E3:E17" si="0">C3*D3</f>
        <v>149.31</v>
      </c>
      <c r="G3" t="s">
        <v>13</v>
      </c>
    </row>
    <row r="4" spans="1:8">
      <c r="A4" s="10" t="s">
        <v>8</v>
      </c>
      <c r="B4" s="1" t="s">
        <v>9</v>
      </c>
      <c r="C4">
        <v>86.67</v>
      </c>
      <c r="D4">
        <v>1</v>
      </c>
      <c r="E4">
        <f t="shared" si="0"/>
        <v>86.67</v>
      </c>
    </row>
    <row r="5" spans="1:8">
      <c r="A5" s="10"/>
      <c r="B5" s="1" t="s">
        <v>10</v>
      </c>
      <c r="C5">
        <v>86.35</v>
      </c>
      <c r="D5">
        <v>1</v>
      </c>
      <c r="E5">
        <f t="shared" si="0"/>
        <v>86.35</v>
      </c>
    </row>
    <row r="6" spans="1:8">
      <c r="A6" s="10"/>
      <c r="B6" s="1" t="s">
        <v>22</v>
      </c>
      <c r="C6">
        <v>104.67</v>
      </c>
      <c r="D6">
        <v>1</v>
      </c>
      <c r="E6">
        <f t="shared" si="0"/>
        <v>104.67</v>
      </c>
    </row>
    <row r="7" spans="1:8">
      <c r="A7" t="s">
        <v>14</v>
      </c>
      <c r="B7" s="1" t="s">
        <v>15</v>
      </c>
      <c r="C7">
        <v>149.44</v>
      </c>
      <c r="D7">
        <v>2</v>
      </c>
      <c r="E7">
        <f t="shared" si="0"/>
        <v>298.88</v>
      </c>
      <c r="G7" t="s">
        <v>17</v>
      </c>
    </row>
    <row r="8" spans="1:8">
      <c r="B8" s="1" t="s">
        <v>16</v>
      </c>
      <c r="C8">
        <v>120</v>
      </c>
      <c r="D8">
        <v>2</v>
      </c>
      <c r="E8">
        <f t="shared" si="0"/>
        <v>240</v>
      </c>
      <c r="G8" t="s">
        <v>18</v>
      </c>
    </row>
    <row r="9" spans="1:8">
      <c r="B9" s="1" t="s">
        <v>19</v>
      </c>
      <c r="C9">
        <v>54.8</v>
      </c>
      <c r="D9">
        <v>3</v>
      </c>
      <c r="E9">
        <f t="shared" si="0"/>
        <v>164.39999999999998</v>
      </c>
      <c r="G9" t="s">
        <v>20</v>
      </c>
      <c r="H9" t="s">
        <v>21</v>
      </c>
    </row>
    <row r="10" spans="1:8">
      <c r="B10" s="1" t="s">
        <v>23</v>
      </c>
      <c r="E10">
        <f t="shared" si="0"/>
        <v>0</v>
      </c>
      <c r="G10" t="s">
        <v>24</v>
      </c>
      <c r="H10" t="s">
        <v>25</v>
      </c>
    </row>
    <row r="11" spans="1:8">
      <c r="E11">
        <f t="shared" si="0"/>
        <v>0</v>
      </c>
    </row>
    <row r="12" spans="1:8">
      <c r="E12">
        <f t="shared" si="0"/>
        <v>0</v>
      </c>
    </row>
    <row r="13" spans="1:8">
      <c r="E13">
        <f t="shared" si="0"/>
        <v>0</v>
      </c>
    </row>
    <row r="14" spans="1:8">
      <c r="E14">
        <f t="shared" si="0"/>
        <v>0</v>
      </c>
    </row>
    <row r="15" spans="1:8">
      <c r="E15">
        <f t="shared" si="0"/>
        <v>0</v>
      </c>
    </row>
    <row r="16" spans="1:8">
      <c r="E16">
        <f t="shared" si="0"/>
        <v>0</v>
      </c>
    </row>
    <row r="17" spans="5:5">
      <c r="E17">
        <f t="shared" si="0"/>
        <v>0</v>
      </c>
    </row>
  </sheetData>
  <mergeCells count="2">
    <mergeCell ref="A2:A3"/>
    <mergeCell ref="A4:A6"/>
  </mergeCells>
  <hyperlinks>
    <hyperlink ref="B2" r:id="rId1" xr:uid="{889D9FA3-C62A-44E5-8F5D-0E230AF6095E}"/>
    <hyperlink ref="B4" r:id="rId2" xr:uid="{40035834-CF7E-4C0B-B133-C45520D847B3}"/>
    <hyperlink ref="B5" r:id="rId3" xr:uid="{6C62A034-CDD6-4DF3-9187-8E88DED7D2CD}"/>
    <hyperlink ref="B3" r:id="rId4" xr:uid="{B827CA6A-48AF-48B9-80C2-52EC8A49F5D5}"/>
    <hyperlink ref="B7" r:id="rId5" xr:uid="{4DABD8DF-E279-4824-9E41-547C3665C450}"/>
    <hyperlink ref="B8" r:id="rId6" xr:uid="{78C437F3-D69A-4B42-9D12-C4C2B9B9DCA3}"/>
    <hyperlink ref="B9" r:id="rId7" xr:uid="{32D49045-FFE5-472D-B430-7FCE76119486}"/>
    <hyperlink ref="B10" r:id="rId8" xr:uid="{B54E7FEC-2266-4F29-A9C9-6E1F9313DEB7}"/>
  </hyperlinks>
  <pageMargins left="0.7" right="0.7" top="0.75" bottom="0.75" header="0.3" footer="0.3"/>
  <pageSetup orientation="landscape" horizontalDpi="0" verticalDpi="0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parts</vt:lpstr>
      <vt:lpstr>parts_old</vt:lpstr>
      <vt:lpstr>general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Monoran</dc:creator>
  <cp:lastModifiedBy>David Monoran</cp:lastModifiedBy>
  <dcterms:created xsi:type="dcterms:W3CDTF">2026-07-23T15:33:35Z</dcterms:created>
  <dcterms:modified xsi:type="dcterms:W3CDTF">2026-09-08T18:03:47Z</dcterms:modified>
</cp:coreProperties>
</file>